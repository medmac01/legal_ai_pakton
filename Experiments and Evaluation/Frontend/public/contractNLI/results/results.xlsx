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4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<sst xmlns="http://schemas.openxmlformats.org/spreadsheetml/2006/main" count="541" uniqueCount="55">
  <si>
    <t>model ID</t>
  </si>
  <si>
    <t>API</t>
  </si>
  <si>
    <t>accuracy</t>
  </si>
  <si>
    <t>f1_weighted</t>
  </si>
  <si>
    <t>f1_entailment</t>
  </si>
  <si>
    <t>f1_contradiction</t>
  </si>
  <si>
    <t>f1_neutral</t>
  </si>
  <si>
    <t>duration_seconds</t>
  </si>
  <si>
    <t>quantization</t>
  </si>
  <si>
    <t>try</t>
  </si>
  <si>
    <t>prompting</t>
  </si>
  <si>
    <t>model download time</t>
  </si>
  <si>
    <t>Notes</t>
  </si>
  <si>
    <t>meta-llama/Meta-Llama-3-8B-Instruct</t>
  </si>
  <si>
    <t>LOCAL</t>
  </si>
  <si>
    <t>no</t>
  </si>
  <si>
    <t>naive zero-shot</t>
  </si>
  <si>
    <t>8 mins</t>
  </si>
  <si>
    <t>~4500 seconds ~=1h 15mins for 2091 NDA contracts. (2.15seconds per NDA), placed in one gpu</t>
  </si>
  <si>
    <t>Average Metrics:</t>
  </si>
  <si>
    <t>mistralai/Mistral-7B-Instruct-v0.2</t>
  </si>
  <si>
    <t>66C temperature, not all gpus used efficiently, 6 seconds per NDA</t>
  </si>
  <si>
    <t>Χωράει στη μία GPU , έτρεξε στη μία gpu, θα μπορούσε να υλοποιηθεί data parallelism</t>
  </si>
  <si>
    <t>gpt-4o</t>
  </si>
  <si>
    <t>OPENAI</t>
  </si>
  <si>
    <t>-</t>
  </si>
  <si>
    <t xml:space="preserve">1.3 seconds per NDA </t>
  </si>
  <si>
    <t>optimized zero-shot</t>
  </si>
  <si>
    <t>Equall/Saul-7B-Instruct-v1</t>
  </si>
  <si>
    <t>15 mins to load</t>
  </si>
  <si>
    <t>mistralai/Mixtral-8x7B-Instruct-v0.1</t>
  </si>
  <si>
    <t>normal</t>
  </si>
  <si>
    <t>5 seconds per NDA</t>
  </si>
  <si>
    <t>naive few-shot</t>
  </si>
  <si>
    <t>naive few-shot isolated spans</t>
  </si>
  <si>
    <t>for the local models the naive few-shot exceeded the maximum length of the model</t>
  </si>
  <si>
    <t>Equall/SaulLM-54B-Instruct</t>
  </si>
  <si>
    <t>lowest</t>
  </si>
  <si>
    <t>54 seconds per NDA</t>
  </si>
  <si>
    <t>meta-llama/Meta-Llama-3-70B-Instruct</t>
  </si>
  <si>
    <t>this is for mixtral 8x7</t>
  </si>
  <si>
    <t>this is for saul54 lowest quantization</t>
  </si>
  <si>
    <t>for llama 70B normal quantization</t>
  </si>
  <si>
    <t>deepseek distill normal quantization llama 70B</t>
  </si>
  <si>
    <t>40 sec/NDA</t>
  </si>
  <si>
    <t>deepseek-ai/DeepSeek-R1-Distill-Llama-70B</t>
  </si>
  <si>
    <t>For the following, the predictions were not kept.</t>
  </si>
  <si>
    <t>BEDROCK</t>
  </si>
  <si>
    <t>naive-zero shot</t>
  </si>
  <si>
    <t>naive_zero_shot_in_document_rag_naive_chunking</t>
  </si>
  <si>
    <t>anthropic.claude-3-opus-20240229-v1:0</t>
  </si>
  <si>
    <t>anthropic.claude-3-5-sonnet-20241022-v2:0</t>
  </si>
  <si>
    <t>naive few-shot isolated spans same hypothesis</t>
  </si>
  <si>
    <t>For contractnli_a subset</t>
  </si>
  <si>
    <t>naive_few_shot_isolated_spans_same_hypothesis_chainOfThought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</si>
</sst>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7">
    <font>
      <sz val="11"/>
      <color theme="1"/>
      <name val="Calibri"/>
      <charset val="134"/>
      <scheme val="minor"/>
    </font>
    <font>
      <b/>
      <sz val="10.5"/>
      <name val="Cascadia Code"/>
      <charset val="134"/>
    </font>
    <font>
      <sz val="10.5"/>
      <name val="Cascadia Code"/>
      <charset val="134"/>
    </font>
    <font>
      <sz val="10.5"/>
      <color rgb="FFCCCCCC"/>
      <name val="Consolas"/>
      <charset val="134"/>
    </font>
    <font>
      <sz val="10.5"/>
      <color rgb="FFFF0000"/>
      <name val="Cascadia Code"/>
      <charset val="134"/>
    </font>
    <font>
      <b/>
      <sz val="16"/>
      <color theme="1"/>
      <name val="Calibri"/>
      <charset val="134"/>
      <scheme val="minor"/>
    </font>
    <font>
      <sz val="9"/>
      <color rgb="FFB5CEA8"/>
      <name val="Calibri"/>
      <charset val="134"/>
      <scheme val="minor"/>
    </font>
    <font>
      <sz val="9"/>
      <color rgb="FFCE9178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8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6" borderId="9" applyNumberFormat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2" xfId="0" applyBorder="1">
      <alignment vertical="center"/>
    </xf>
    <xf numFmtId="0" fontId="2" fillId="0" borderId="2" xfId="0" applyFont="1" applyBorder="1" applyAlignment="1">
      <alignment horizontal="center" vertical="center" wrapText="1"/>
    </xf>
    <xf numFmtId="0" fontId="2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2" borderId="0" xfId="0" applyFill="1">
      <alignment vertical="center"/>
    </xf>
    <xf numFmtId="0" fontId="4" fillId="2" borderId="0" xfId="0" applyNumberFormat="1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21</xdr:col>
      <xdr:colOff>0</xdr:colOff>
      <xdr:row>0</xdr:row>
      <xdr:rowOff>142875</xdr:rowOff>
    </xdr:from>
    <xdr:to>
      <xdr:col>23</xdr:col>
      <xdr:colOff>123825</xdr:colOff>
      <xdr:row>3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9818965" y="142875"/>
          <a:ext cx="1609725" cy="6400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20</xdr:col>
      <xdr:colOff>1637665</xdr:colOff>
      <xdr:row>5</xdr:row>
      <xdr:rowOff>323850</xdr:rowOff>
    </xdr:from>
    <xdr:to>
      <xdr:col>26</xdr:col>
      <xdr:colOff>1114425</xdr:colOff>
      <xdr:row>42</xdr:row>
      <xdr:rowOff>5715</xdr:rowOff>
    </xdr:to>
    <xdr:pic>
      <xdr:nvPicPr>
        <xdr:cNvPr id="3" name="Picture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8472765" y="1299210"/>
          <a:ext cx="6175375" cy="77533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28</xdr:col>
      <xdr:colOff>68580</xdr:colOff>
      <xdr:row>6</xdr:row>
      <xdr:rowOff>19050</xdr:rowOff>
    </xdr:from>
    <xdr:to>
      <xdr:col>38</xdr:col>
      <xdr:colOff>371475</xdr:colOff>
      <xdr:row>21</xdr:row>
      <xdr:rowOff>133350</xdr:rowOff>
    </xdr:to>
    <xdr:pic>
      <xdr:nvPicPr>
        <xdr:cNvPr id="4" name="Picture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7108765" y="1318260"/>
          <a:ext cx="7732395" cy="3352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247015</xdr:colOff>
      <xdr:row>65</xdr:row>
      <xdr:rowOff>23495</xdr:rowOff>
    </xdr:from>
    <xdr:to>
      <xdr:col>17</xdr:col>
      <xdr:colOff>171450</xdr:colOff>
      <xdr:row>88</xdr:row>
      <xdr:rowOff>176530</xdr:rowOff>
    </xdr:to>
    <xdr:pic>
      <xdr:nvPicPr>
        <xdr:cNvPr id="5" name="Picture 4"/>
        <xdr:cNvPicPr>
          <a:picLocks noChangeAspect="1"/>
        </xdr:cNvPicPr>
      </xdr:nvPicPr>
      <xdr:blipFill>
        <a:blip r:embed="rId4"/>
        <a:srcRect r="48276"/>
        <a:stretch>
          <a:fillRect/>
        </a:stretch>
      </xdr:blipFill>
      <xdr:spPr>
        <a:xfrm>
          <a:off x="19698970" y="14015720"/>
          <a:ext cx="5078730" cy="51511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20</xdr:col>
      <xdr:colOff>114300</xdr:colOff>
      <xdr:row>64</xdr:row>
      <xdr:rowOff>180975</xdr:rowOff>
    </xdr:from>
    <xdr:to>
      <xdr:col>23</xdr:col>
      <xdr:colOff>315595</xdr:colOff>
      <xdr:row>89</xdr:row>
      <xdr:rowOff>255905</xdr:rowOff>
    </xdr:to>
    <xdr:pic>
      <xdr:nvPicPr>
        <xdr:cNvPr id="6" name="Picture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6949400" y="13959840"/>
          <a:ext cx="4671060" cy="55092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25</xdr:col>
      <xdr:colOff>133350</xdr:colOff>
      <xdr:row>65</xdr:row>
      <xdr:rowOff>9525</xdr:rowOff>
    </xdr:from>
    <xdr:to>
      <xdr:col>32</xdr:col>
      <xdr:colOff>342900</xdr:colOff>
      <xdr:row>106</xdr:row>
      <xdr:rowOff>203200</xdr:rowOff>
    </xdr:to>
    <xdr:pic>
      <xdr:nvPicPr>
        <xdr:cNvPr id="7" name="Picture 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2924115" y="14001750"/>
          <a:ext cx="7430770" cy="93427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35</xdr:col>
      <xdr:colOff>0</xdr:colOff>
      <xdr:row>65</xdr:row>
      <xdr:rowOff>0</xdr:rowOff>
    </xdr:from>
    <xdr:to>
      <xdr:col>45</xdr:col>
      <xdr:colOff>95250</xdr:colOff>
      <xdr:row>110</xdr:row>
      <xdr:rowOff>150495</xdr:rowOff>
    </xdr:to>
    <xdr:pic>
      <xdr:nvPicPr>
        <xdr:cNvPr id="8" name="Picture 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42240835" y="13992225"/>
          <a:ext cx="7524750" cy="1025334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220"/>
  <sheetViews>
    <sheetView tabSelected="1" topLeftCell="A194" workbookViewId="0">
      <selection activeCell="K222" sqref="K222"/>
    </sheetView>
  </sheetViews>
  <sheetFormatPr defaultColWidth="9.140625" defaultRowHeight="16.8"/>
  <cols>
    <col min="1" max="1" width="42.859375" customWidth="1"/>
    <col min="2" max="2" width="29.5703125" customWidth="1"/>
    <col min="3" max="3" width="17.7109375" customWidth="1"/>
    <col min="4" max="4" width="15.5703125" customWidth="1"/>
    <col min="5" max="5" width="16.2890625" customWidth="1"/>
    <col min="6" max="6" width="19.5703125" customWidth="1"/>
    <col min="7" max="7" width="16.140625" customWidth="1"/>
    <col min="8" max="8" width="20.140625" customWidth="1"/>
    <col min="9" max="9" width="16.859375" customWidth="1"/>
    <col min="11" max="11" width="35.46875" customWidth="1"/>
    <col min="13" max="13" width="17.7109375" customWidth="1"/>
    <col min="21" max="21" width="36.7109375" customWidth="1"/>
    <col min="27" max="27" width="34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M1" s="1" t="s">
        <v>11</v>
      </c>
      <c r="N1" s="10" t="s">
        <v>12</v>
      </c>
      <c r="O1" s="10"/>
      <c r="P1" s="10"/>
      <c r="Q1" s="10"/>
      <c r="R1" s="10"/>
      <c r="S1" s="10"/>
      <c r="T1" s="10"/>
      <c r="U1" s="10"/>
    </row>
    <row r="2" spans="1:27">
      <c r="A2" s="2" t="s">
        <v>13</v>
      </c>
      <c r="B2" s="2" t="s">
        <v>14</v>
      </c>
      <c r="C2" s="2">
        <v>0.486848397895743</v>
      </c>
      <c r="D2" s="2">
        <v>0.461204012972877</v>
      </c>
      <c r="E2" s="2">
        <v>0.567717996289424</v>
      </c>
      <c r="F2" s="2">
        <v>0.0326530612244898</v>
      </c>
      <c r="G2" s="2">
        <v>0.451431779898933</v>
      </c>
      <c r="H2" s="2">
        <v>4481</v>
      </c>
      <c r="I2" s="2" t="s">
        <v>15</v>
      </c>
      <c r="J2" s="2">
        <v>1</v>
      </c>
      <c r="K2" s="2" t="s">
        <v>16</v>
      </c>
      <c r="M2" s="2" t="s">
        <v>17</v>
      </c>
      <c r="N2" s="10" t="s">
        <v>18</v>
      </c>
      <c r="O2" s="10"/>
      <c r="P2" s="10"/>
      <c r="Q2" s="10"/>
      <c r="R2" s="10"/>
      <c r="S2" s="10"/>
      <c r="T2" s="10"/>
      <c r="U2" s="10"/>
      <c r="Y2" s="10"/>
      <c r="Z2" s="10"/>
      <c r="AA2" s="10"/>
    </row>
    <row r="3" spans="1:27">
      <c r="A3" s="2" t="s">
        <v>13</v>
      </c>
      <c r="B3" s="2" t="s">
        <v>14</v>
      </c>
      <c r="C3" s="2">
        <v>0.488283118125298</v>
      </c>
      <c r="D3" s="2">
        <v>0.461346222364999</v>
      </c>
      <c r="E3" s="2">
        <v>0.563937442502299</v>
      </c>
      <c r="F3" s="2">
        <v>0.0252100840336134</v>
      </c>
      <c r="G3" s="2">
        <v>0.457627118644067</v>
      </c>
      <c r="H3" s="2">
        <v>4500</v>
      </c>
      <c r="I3" s="2" t="s">
        <v>15</v>
      </c>
      <c r="J3" s="2">
        <v>2</v>
      </c>
      <c r="K3" s="2" t="s">
        <v>16</v>
      </c>
      <c r="M3" s="2"/>
      <c r="N3" s="10"/>
      <c r="O3" s="10"/>
      <c r="P3" s="10"/>
      <c r="Q3" s="10"/>
      <c r="R3" s="10"/>
      <c r="S3" s="10"/>
      <c r="T3" s="10"/>
      <c r="U3" s="10"/>
      <c r="Y3" s="10"/>
      <c r="Z3" s="10"/>
      <c r="AA3" s="10"/>
    </row>
    <row r="4" ht="17.55" spans="1:27">
      <c r="A4" s="2" t="s">
        <v>13</v>
      </c>
      <c r="B4" s="2" t="s">
        <v>14</v>
      </c>
      <c r="C4" s="2">
        <v>0.49689143950263</v>
      </c>
      <c r="D4" s="2">
        <v>0.46914623893615</v>
      </c>
      <c r="E4" s="2">
        <v>0.575757575757575</v>
      </c>
      <c r="F4" s="2">
        <v>0.0165975103734439</v>
      </c>
      <c r="G4" s="2">
        <v>0.465116279069767</v>
      </c>
      <c r="H4" s="2">
        <v>4539</v>
      </c>
      <c r="I4" s="2" t="s">
        <v>15</v>
      </c>
      <c r="J4" s="2">
        <v>3</v>
      </c>
      <c r="K4" s="2" t="s">
        <v>16</v>
      </c>
      <c r="M4" s="2"/>
      <c r="N4" s="10"/>
      <c r="O4" s="10"/>
      <c r="P4" s="10"/>
      <c r="Q4" s="10"/>
      <c r="R4" s="10"/>
      <c r="S4" s="10"/>
      <c r="T4" s="10"/>
      <c r="U4" s="10"/>
      <c r="Y4" s="10"/>
      <c r="Z4" s="10"/>
      <c r="AA4" s="10"/>
    </row>
    <row r="5" ht="17.55" spans="1:8">
      <c r="A5" s="3" t="s">
        <v>19</v>
      </c>
      <c r="B5" s="4"/>
      <c r="C5" s="5">
        <f t="shared" ref="C5:H5" si="0">AVERAGE(C2:C4)</f>
        <v>0.49067431850789</v>
      </c>
      <c r="D5" s="5">
        <f t="shared" si="0"/>
        <v>0.463898824758009</v>
      </c>
      <c r="E5" s="5">
        <f t="shared" si="0"/>
        <v>0.569137671516433</v>
      </c>
      <c r="F5" s="5">
        <f t="shared" si="0"/>
        <v>0.024820218543849</v>
      </c>
      <c r="G5" s="5">
        <f t="shared" si="0"/>
        <v>0.458058392537589</v>
      </c>
      <c r="H5" s="9">
        <f t="shared" si="0"/>
        <v>4506.66666666667</v>
      </c>
    </row>
    <row r="6" spans="1:21">
      <c r="A6" s="2"/>
      <c r="B6" s="2"/>
      <c r="N6" s="10"/>
      <c r="O6" s="10"/>
      <c r="P6" s="10"/>
      <c r="Q6" s="10"/>
      <c r="R6" s="10"/>
      <c r="S6" s="10"/>
      <c r="T6" s="10"/>
      <c r="U6" s="10"/>
    </row>
    <row r="7" spans="1:1">
      <c r="A7" s="2"/>
    </row>
    <row r="8" spans="1:11">
      <c r="A8" s="2" t="s">
        <v>20</v>
      </c>
      <c r="B8" s="2" t="s">
        <v>14</v>
      </c>
      <c r="C8" s="6">
        <v>0.530143540669856</v>
      </c>
      <c r="D8" s="6">
        <v>0.480431744780653</v>
      </c>
      <c r="E8" s="6">
        <v>0.45512367491166</v>
      </c>
      <c r="F8" s="6">
        <v>0.0260869565217391</v>
      </c>
      <c r="G8" s="6">
        <v>0.61775147928994</v>
      </c>
      <c r="H8" s="2">
        <v>10649</v>
      </c>
      <c r="I8" s="2" t="s">
        <v>15</v>
      </c>
      <c r="J8" s="2">
        <v>1</v>
      </c>
      <c r="K8" s="2" t="s">
        <v>16</v>
      </c>
    </row>
    <row r="9" spans="1:21">
      <c r="A9" s="2" t="s">
        <v>20</v>
      </c>
      <c r="B9" s="2" t="s">
        <v>14</v>
      </c>
      <c r="C9" s="6">
        <v>0.533971291866028</v>
      </c>
      <c r="D9" s="6">
        <v>0.484269390789958</v>
      </c>
      <c r="E9" s="6">
        <v>0.462728551336146</v>
      </c>
      <c r="F9" s="6">
        <v>0.0175438596491228</v>
      </c>
      <c r="G9" s="6">
        <v>0.620553359683794</v>
      </c>
      <c r="H9" s="2">
        <v>10858</v>
      </c>
      <c r="I9" s="2" t="s">
        <v>15</v>
      </c>
      <c r="J9" s="2">
        <v>2</v>
      </c>
      <c r="K9" s="2" t="s">
        <v>16</v>
      </c>
      <c r="N9" s="10" t="s">
        <v>21</v>
      </c>
      <c r="O9" s="10"/>
      <c r="P9" s="10"/>
      <c r="Q9" s="10"/>
      <c r="R9" s="10"/>
      <c r="S9" s="10"/>
      <c r="T9" s="10"/>
      <c r="U9" s="10"/>
    </row>
    <row r="10" spans="1:21">
      <c r="A10" s="6" t="s">
        <v>20</v>
      </c>
      <c r="B10" s="6" t="s">
        <v>14</v>
      </c>
      <c r="C10" s="6">
        <v>0.532759445241511</v>
      </c>
      <c r="D10" s="6">
        <v>0.483877910864953</v>
      </c>
      <c r="E10" s="6">
        <v>0.459039548022598</v>
      </c>
      <c r="F10" s="6">
        <v>0.0341880341880341</v>
      </c>
      <c r="G10" s="6">
        <v>0.620063191153238</v>
      </c>
      <c r="H10" s="6">
        <v>10636</v>
      </c>
      <c r="I10" s="6" t="s">
        <v>15</v>
      </c>
      <c r="J10" s="6">
        <v>3</v>
      </c>
      <c r="K10" s="6" t="s">
        <v>16</v>
      </c>
      <c r="N10" s="11" t="s">
        <v>22</v>
      </c>
      <c r="O10" s="11"/>
      <c r="P10" s="11"/>
      <c r="Q10" s="11"/>
      <c r="R10" s="11"/>
      <c r="S10" s="11"/>
      <c r="T10" s="11"/>
      <c r="U10" s="11"/>
    </row>
    <row r="11" ht="17.55" spans="1:21">
      <c r="A11" s="3" t="s">
        <v>19</v>
      </c>
      <c r="B11" s="4"/>
      <c r="C11" s="5">
        <f t="shared" ref="C11:H11" si="1">AVERAGE(C8:C10)</f>
        <v>0.532291425925798</v>
      </c>
      <c r="D11" s="5">
        <f t="shared" si="1"/>
        <v>0.482859682145188</v>
      </c>
      <c r="E11" s="5">
        <f t="shared" si="1"/>
        <v>0.458963924756801</v>
      </c>
      <c r="F11" s="5">
        <f t="shared" si="1"/>
        <v>0.0259396167862987</v>
      </c>
      <c r="G11" s="5">
        <f t="shared" si="1"/>
        <v>0.619456010042324</v>
      </c>
      <c r="H11" s="9">
        <f t="shared" si="1"/>
        <v>10714.3333333333</v>
      </c>
      <c r="I11" s="6"/>
      <c r="J11" s="6"/>
      <c r="K11" s="6"/>
      <c r="N11" s="11"/>
      <c r="O11" s="11"/>
      <c r="P11" s="11"/>
      <c r="Q11" s="11"/>
      <c r="R11" s="11"/>
      <c r="S11" s="11"/>
      <c r="T11" s="11"/>
      <c r="U11" s="11"/>
    </row>
    <row r="12" spans="1:1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</row>
    <row r="13" spans="1:21">
      <c r="A13" s="2" t="s">
        <v>23</v>
      </c>
      <c r="B13" s="2" t="s">
        <v>24</v>
      </c>
      <c r="C13" s="6">
        <v>0.61119081779053</v>
      </c>
      <c r="D13" s="6">
        <v>0.636738984356281</v>
      </c>
      <c r="E13" s="6">
        <v>0.749724366041896</v>
      </c>
      <c r="F13" s="6">
        <v>0.411885245901639</v>
      </c>
      <c r="G13" s="6">
        <v>0.570402298850574</v>
      </c>
      <c r="H13" s="6">
        <v>1824</v>
      </c>
      <c r="I13" s="2" t="s">
        <v>25</v>
      </c>
      <c r="J13" s="2">
        <v>1</v>
      </c>
      <c r="K13" s="2" t="s">
        <v>16</v>
      </c>
      <c r="N13" s="10" t="s">
        <v>26</v>
      </c>
      <c r="O13" s="10"/>
      <c r="P13" s="10"/>
      <c r="Q13" s="10"/>
      <c r="R13" s="10"/>
      <c r="S13" s="10"/>
      <c r="T13" s="10"/>
      <c r="U13" s="10"/>
    </row>
    <row r="14" spans="1:21">
      <c r="A14" s="2" t="s">
        <v>23</v>
      </c>
      <c r="B14" s="2" t="s">
        <v>24</v>
      </c>
      <c r="C14" s="6">
        <v>0.61119081779053</v>
      </c>
      <c r="D14" s="6">
        <v>0.63559504703672</v>
      </c>
      <c r="E14" s="6">
        <v>0.75</v>
      </c>
      <c r="F14" s="6">
        <v>0.415132924335378</v>
      </c>
      <c r="G14" s="6">
        <v>0.566666666666666</v>
      </c>
      <c r="H14" s="6">
        <v>1819</v>
      </c>
      <c r="I14" s="2" t="s">
        <v>25</v>
      </c>
      <c r="J14" s="2">
        <v>2</v>
      </c>
      <c r="K14" s="2" t="s">
        <v>16</v>
      </c>
      <c r="N14" s="10"/>
      <c r="O14" s="10"/>
      <c r="P14" s="10"/>
      <c r="Q14" s="10"/>
      <c r="R14" s="10"/>
      <c r="S14" s="10"/>
      <c r="T14" s="10"/>
      <c r="U14" s="10"/>
    </row>
    <row r="15" ht="17.55" spans="1:21">
      <c r="A15" s="2" t="s">
        <v>23</v>
      </c>
      <c r="B15" s="2" t="s">
        <v>24</v>
      </c>
      <c r="C15" s="6">
        <v>0.614060258249641</v>
      </c>
      <c r="D15" s="6">
        <v>0.6375694690249</v>
      </c>
      <c r="E15" s="6">
        <v>0.747397260273972</v>
      </c>
      <c r="F15" s="6">
        <v>0.42159916926272</v>
      </c>
      <c r="G15" s="6">
        <v>0.572453371592539</v>
      </c>
      <c r="H15" s="6">
        <v>2351</v>
      </c>
      <c r="I15" s="2" t="s">
        <v>25</v>
      </c>
      <c r="J15" s="2">
        <v>3</v>
      </c>
      <c r="K15" s="2" t="s">
        <v>16</v>
      </c>
      <c r="N15" s="10"/>
      <c r="O15" s="10"/>
      <c r="P15" s="10"/>
      <c r="Q15" s="10"/>
      <c r="R15" s="10"/>
      <c r="S15" s="10"/>
      <c r="T15" s="10"/>
      <c r="U15" s="10"/>
    </row>
    <row r="16" ht="17.55" spans="1:21">
      <c r="A16" s="3" t="s">
        <v>19</v>
      </c>
      <c r="B16" s="4"/>
      <c r="C16" s="5">
        <f t="shared" ref="C16:H16" si="2">AVERAGE(C13:C15)</f>
        <v>0.612147297943567</v>
      </c>
      <c r="D16" s="5">
        <f t="shared" si="2"/>
        <v>0.6366345001393</v>
      </c>
      <c r="E16" s="5">
        <f t="shared" si="2"/>
        <v>0.749040542105289</v>
      </c>
      <c r="F16" s="5">
        <f t="shared" si="2"/>
        <v>0.416205779833246</v>
      </c>
      <c r="G16" s="5">
        <f t="shared" si="2"/>
        <v>0.569840779036593</v>
      </c>
      <c r="H16" s="9">
        <f t="shared" si="2"/>
        <v>1998</v>
      </c>
      <c r="I16" s="2"/>
      <c r="J16" s="2"/>
      <c r="K16" s="2"/>
      <c r="N16" s="10"/>
      <c r="O16" s="10"/>
      <c r="P16" s="10"/>
      <c r="Q16" s="10"/>
      <c r="R16" s="10"/>
      <c r="S16" s="10"/>
      <c r="T16" s="10"/>
      <c r="U16" s="10"/>
    </row>
    <row r="17" spans="3:8">
      <c r="C17" s="6"/>
      <c r="D17" s="6"/>
      <c r="E17" s="6"/>
      <c r="F17" s="6"/>
      <c r="G17" s="6"/>
      <c r="H17" s="6"/>
    </row>
    <row r="18" spans="1:11">
      <c r="A18" s="2" t="s">
        <v>23</v>
      </c>
      <c r="B18" s="2" t="s">
        <v>24</v>
      </c>
      <c r="C18" s="6">
        <v>0.627450980392156</v>
      </c>
      <c r="D18" s="6">
        <v>0.626486684801095</v>
      </c>
      <c r="E18" s="6">
        <v>0.595658073270013</v>
      </c>
      <c r="F18" s="6">
        <v>0.441558441558441</v>
      </c>
      <c r="G18" s="6">
        <v>0.704588910133843</v>
      </c>
      <c r="H18" s="6">
        <v>2084</v>
      </c>
      <c r="I18" s="2" t="s">
        <v>25</v>
      </c>
      <c r="J18" s="2">
        <v>1</v>
      </c>
      <c r="K18" s="2" t="s">
        <v>27</v>
      </c>
    </row>
    <row r="19" spans="1:11">
      <c r="A19" s="2" t="s">
        <v>23</v>
      </c>
      <c r="B19" s="2" t="s">
        <v>24</v>
      </c>
      <c r="C19" s="6">
        <v>0.616451458632233</v>
      </c>
      <c r="D19" s="6">
        <v>0.61685785386388</v>
      </c>
      <c r="E19" s="6">
        <v>0.591644204851752</v>
      </c>
      <c r="F19" s="6">
        <v>0.44551282051282</v>
      </c>
      <c r="G19" s="6">
        <v>0.68563162970106</v>
      </c>
      <c r="H19" s="6">
        <v>2049</v>
      </c>
      <c r="I19" s="2" t="s">
        <v>25</v>
      </c>
      <c r="J19" s="2">
        <v>2</v>
      </c>
      <c r="K19" s="2" t="s">
        <v>27</v>
      </c>
    </row>
    <row r="20" spans="1:11">
      <c r="A20" s="2" t="s">
        <v>23</v>
      </c>
      <c r="B20" s="2" t="s">
        <v>24</v>
      </c>
      <c r="C20" s="6">
        <v>0.622668579626972</v>
      </c>
      <c r="D20" s="6">
        <v>0.623991312376331</v>
      </c>
      <c r="E20" s="6">
        <v>0.597297297297297</v>
      </c>
      <c r="F20" s="6">
        <v>0.436420722135007</v>
      </c>
      <c r="G20" s="6">
        <v>0.698305084745762</v>
      </c>
      <c r="H20" s="6">
        <v>4235</v>
      </c>
      <c r="I20" s="2" t="s">
        <v>25</v>
      </c>
      <c r="J20" s="2">
        <v>3</v>
      </c>
      <c r="K20" s="2" t="s">
        <v>27</v>
      </c>
    </row>
    <row r="21" ht="17.55" spans="1:11">
      <c r="A21" s="3" t="s">
        <v>19</v>
      </c>
      <c r="B21" s="4"/>
      <c r="C21" s="5">
        <f t="shared" ref="C21:H21" si="3">AVERAGE(C18:C20)</f>
        <v>0.622190339550454</v>
      </c>
      <c r="D21" s="5">
        <f t="shared" si="3"/>
        <v>0.622445283680435</v>
      </c>
      <c r="E21" s="5">
        <f t="shared" si="3"/>
        <v>0.594866525139687</v>
      </c>
      <c r="F21" s="5">
        <f t="shared" si="3"/>
        <v>0.441163994735423</v>
      </c>
      <c r="G21" s="5">
        <f t="shared" si="3"/>
        <v>0.696175208193555</v>
      </c>
      <c r="H21" s="9">
        <f t="shared" si="3"/>
        <v>2789.33333333333</v>
      </c>
      <c r="I21" s="2"/>
      <c r="J21" s="2"/>
      <c r="K21" s="2"/>
    </row>
    <row r="22" spans="3:8">
      <c r="C22" s="6"/>
      <c r="D22" s="6"/>
      <c r="E22" s="6"/>
      <c r="F22" s="6"/>
      <c r="G22" s="6"/>
      <c r="H22" s="6"/>
    </row>
    <row r="23" spans="1:21">
      <c r="A23" s="6" t="s">
        <v>28</v>
      </c>
      <c r="B23" s="6" t="s">
        <v>14</v>
      </c>
      <c r="C23" s="6">
        <v>0.422285987565758</v>
      </c>
      <c r="D23" s="6">
        <v>0.293330794334772</v>
      </c>
      <c r="E23" s="6">
        <v>0.0569744597249508</v>
      </c>
      <c r="F23" s="6">
        <v>0.0909090909090909</v>
      </c>
      <c r="G23" s="6">
        <v>0.59601706970128</v>
      </c>
      <c r="H23" s="6">
        <v>6363</v>
      </c>
      <c r="I23" s="2" t="s">
        <v>15</v>
      </c>
      <c r="J23" s="2">
        <v>1</v>
      </c>
      <c r="K23" s="2" t="s">
        <v>16</v>
      </c>
      <c r="N23" s="10" t="s">
        <v>29</v>
      </c>
      <c r="O23" s="10"/>
      <c r="P23" s="10"/>
      <c r="Q23" s="10"/>
      <c r="R23" s="10"/>
      <c r="S23" s="10"/>
      <c r="T23" s="10"/>
      <c r="U23" s="10"/>
    </row>
    <row r="24" spans="1:21">
      <c r="A24" s="6" t="s">
        <v>28</v>
      </c>
      <c r="B24" s="6" t="s">
        <v>14</v>
      </c>
      <c r="C24" s="6">
        <v>0.421807747489239</v>
      </c>
      <c r="D24" s="6">
        <v>0.295971645652193</v>
      </c>
      <c r="E24" s="6">
        <v>0.0760233918128654</v>
      </c>
      <c r="F24" s="6">
        <v>0.0542168674698795</v>
      </c>
      <c r="G24" s="6">
        <v>0.590651558073654</v>
      </c>
      <c r="H24" s="6">
        <v>5562</v>
      </c>
      <c r="I24" s="2" t="s">
        <v>15</v>
      </c>
      <c r="J24" s="2">
        <v>2</v>
      </c>
      <c r="K24" s="2" t="s">
        <v>16</v>
      </c>
      <c r="N24" s="10"/>
      <c r="O24" s="10"/>
      <c r="P24" s="10"/>
      <c r="Q24" s="10"/>
      <c r="R24" s="10"/>
      <c r="S24" s="10"/>
      <c r="T24" s="10"/>
      <c r="U24" s="10"/>
    </row>
    <row r="25" spans="1:21">
      <c r="A25" s="6" t="s">
        <v>28</v>
      </c>
      <c r="B25" s="6" t="s">
        <v>14</v>
      </c>
      <c r="C25" s="6">
        <v>0.414634146341463</v>
      </c>
      <c r="D25" s="6">
        <v>0.280874588737056</v>
      </c>
      <c r="E25" s="6">
        <v>0.0436507936507936</v>
      </c>
      <c r="F25" s="6">
        <v>0.0588235294117647</v>
      </c>
      <c r="G25" s="6">
        <v>0.589273112208892</v>
      </c>
      <c r="H25" s="6">
        <v>5547</v>
      </c>
      <c r="I25" s="2" t="s">
        <v>15</v>
      </c>
      <c r="J25" s="2">
        <v>3</v>
      </c>
      <c r="K25" s="2" t="s">
        <v>16</v>
      </c>
      <c r="N25" s="10"/>
      <c r="O25" s="10"/>
      <c r="P25" s="10"/>
      <c r="Q25" s="10"/>
      <c r="R25" s="10"/>
      <c r="S25" s="10"/>
      <c r="T25" s="10"/>
      <c r="U25" s="10"/>
    </row>
    <row r="26" spans="1:21">
      <c r="A26" s="3" t="s">
        <v>19</v>
      </c>
      <c r="B26" s="4"/>
      <c r="C26" s="5">
        <f t="shared" ref="C26:H26" si="4">AVERAGE(C23:C25)</f>
        <v>0.419575960465487</v>
      </c>
      <c r="D26" s="5">
        <f t="shared" si="4"/>
        <v>0.290059009574674</v>
      </c>
      <c r="E26" s="5">
        <f t="shared" si="4"/>
        <v>0.0588828817295366</v>
      </c>
      <c r="F26" s="5">
        <f t="shared" si="4"/>
        <v>0.0679831625969117</v>
      </c>
      <c r="G26" s="5">
        <f t="shared" si="4"/>
        <v>0.591980579994609</v>
      </c>
      <c r="H26" s="9">
        <f t="shared" si="4"/>
        <v>5824</v>
      </c>
      <c r="I26" s="2"/>
      <c r="J26" s="2"/>
      <c r="K26" s="2"/>
      <c r="N26" s="10"/>
      <c r="O26" s="10"/>
      <c r="P26" s="10"/>
      <c r="Q26" s="10"/>
      <c r="R26" s="10"/>
      <c r="S26" s="10"/>
      <c r="T26" s="10"/>
      <c r="U26" s="10"/>
    </row>
    <row r="28" spans="1:21">
      <c r="A28" s="6" t="s">
        <v>30</v>
      </c>
      <c r="B28" s="6" t="s">
        <v>14</v>
      </c>
      <c r="C28" s="6">
        <v>0.560765550239234</v>
      </c>
      <c r="D28" s="6">
        <v>0.565881565818758</v>
      </c>
      <c r="E28" s="6">
        <v>0.654767975522692</v>
      </c>
      <c r="F28" s="6">
        <v>0.408695652173913</v>
      </c>
      <c r="G28" s="6">
        <v>0.508829300196206</v>
      </c>
      <c r="H28" s="6">
        <v>11136</v>
      </c>
      <c r="I28" s="6" t="s">
        <v>31</v>
      </c>
      <c r="J28" s="2">
        <v>1</v>
      </c>
      <c r="K28" s="6" t="s">
        <v>16</v>
      </c>
      <c r="N28" s="10" t="s">
        <v>32</v>
      </c>
      <c r="O28" s="10"/>
      <c r="P28" s="10"/>
      <c r="Q28" s="10"/>
      <c r="R28" s="10"/>
      <c r="S28" s="10"/>
      <c r="T28" s="10"/>
      <c r="U28" s="10"/>
    </row>
    <row r="29" spans="1:11">
      <c r="A29" s="6" t="s">
        <v>30</v>
      </c>
      <c r="B29" s="6" t="s">
        <v>14</v>
      </c>
      <c r="C29" s="6">
        <v>0.560497369679579</v>
      </c>
      <c r="D29" s="6">
        <v>0.56516357936307</v>
      </c>
      <c r="E29" s="6">
        <v>0.655137334689725</v>
      </c>
      <c r="F29" s="6">
        <v>0.409883720930232</v>
      </c>
      <c r="G29" s="6">
        <v>0.506544502617801</v>
      </c>
      <c r="H29" s="6">
        <v>10970</v>
      </c>
      <c r="I29" s="6" t="s">
        <v>31</v>
      </c>
      <c r="J29" s="2">
        <v>2</v>
      </c>
      <c r="K29" s="6" t="s">
        <v>16</v>
      </c>
    </row>
    <row r="30" ht="17.55" spans="1:11">
      <c r="A30" s="6" t="s">
        <v>30</v>
      </c>
      <c r="B30" s="6" t="s">
        <v>14</v>
      </c>
      <c r="C30" s="6">
        <v>0.561244019138756</v>
      </c>
      <c r="D30" s="6">
        <v>0.566067228388339</v>
      </c>
      <c r="E30" s="6">
        <v>0.654452926208651</v>
      </c>
      <c r="F30" s="6">
        <v>0.410480349344978</v>
      </c>
      <c r="G30" s="6">
        <v>0.509162303664921</v>
      </c>
      <c r="H30" s="6">
        <v>11158</v>
      </c>
      <c r="I30" s="6" t="s">
        <v>31</v>
      </c>
      <c r="J30" s="2">
        <v>3</v>
      </c>
      <c r="K30" s="6" t="s">
        <v>16</v>
      </c>
    </row>
    <row r="31" ht="17.55" spans="1:11">
      <c r="A31" s="3" t="s">
        <v>19</v>
      </c>
      <c r="B31" s="4"/>
      <c r="C31" s="5">
        <f t="shared" ref="C31:H31" si="5">AVERAGE(C28:C30)</f>
        <v>0.560835646352523</v>
      </c>
      <c r="D31" s="5">
        <f t="shared" si="5"/>
        <v>0.565704124523389</v>
      </c>
      <c r="E31" s="5">
        <f t="shared" si="5"/>
        <v>0.654786078807023</v>
      </c>
      <c r="F31" s="5">
        <f t="shared" si="5"/>
        <v>0.409686574149708</v>
      </c>
      <c r="G31" s="5">
        <f t="shared" si="5"/>
        <v>0.508178702159643</v>
      </c>
      <c r="H31" s="9">
        <f t="shared" si="5"/>
        <v>11088</v>
      </c>
      <c r="I31" s="6"/>
      <c r="J31" s="2"/>
      <c r="K31" s="6"/>
    </row>
    <row r="33" spans="1:21">
      <c r="A33" s="2" t="s">
        <v>23</v>
      </c>
      <c r="B33" s="6" t="s">
        <v>24</v>
      </c>
      <c r="C33" s="6">
        <v>0.652319464371114</v>
      </c>
      <c r="D33" s="6">
        <v>0.669294501344677</v>
      </c>
      <c r="E33" s="6">
        <v>0.731466227347611</v>
      </c>
      <c r="F33" s="6">
        <v>0.457671957671957</v>
      </c>
      <c r="G33" s="6">
        <v>0.654205607476635</v>
      </c>
      <c r="H33" s="6">
        <v>3656</v>
      </c>
      <c r="I33" s="6" t="s">
        <v>25</v>
      </c>
      <c r="J33" s="2">
        <v>1</v>
      </c>
      <c r="K33" s="6" t="s">
        <v>33</v>
      </c>
      <c r="N33" s="10"/>
      <c r="O33" s="10"/>
      <c r="P33" s="10"/>
      <c r="Q33" s="10"/>
      <c r="R33" s="10"/>
      <c r="S33" s="10"/>
      <c r="T33" s="10"/>
      <c r="U33" s="10"/>
    </row>
    <row r="34" spans="1:21">
      <c r="A34" s="2" t="s">
        <v>23</v>
      </c>
      <c r="B34" s="6" t="s">
        <v>24</v>
      </c>
      <c r="C34" s="6">
        <v>0.659014825442372</v>
      </c>
      <c r="D34" s="6">
        <v>0.673322799103408</v>
      </c>
      <c r="E34" s="6">
        <v>0.729744426318651</v>
      </c>
      <c r="F34" s="6">
        <v>0.46241134751773</v>
      </c>
      <c r="G34" s="6">
        <v>0.664224664224664</v>
      </c>
      <c r="H34" s="6">
        <v>3741</v>
      </c>
      <c r="I34" s="6" t="s">
        <v>25</v>
      </c>
      <c r="J34" s="2">
        <v>2</v>
      </c>
      <c r="K34" s="6" t="s">
        <v>33</v>
      </c>
      <c r="N34" s="10"/>
      <c r="O34" s="10"/>
      <c r="P34" s="10"/>
      <c r="Q34" s="10"/>
      <c r="R34" s="10"/>
      <c r="S34" s="10"/>
      <c r="T34" s="10"/>
      <c r="U34" s="10"/>
    </row>
    <row r="35" spans="1:21">
      <c r="A35" s="2" t="s">
        <v>23</v>
      </c>
      <c r="B35" s="6" t="s">
        <v>24</v>
      </c>
      <c r="C35" s="6">
        <v>0.6805356288857</v>
      </c>
      <c r="D35" s="6">
        <v>0.694140383545092</v>
      </c>
      <c r="E35" s="6">
        <v>0.750273822562979</v>
      </c>
      <c r="F35" s="6">
        <v>0.5</v>
      </c>
      <c r="G35" s="6">
        <v>0.681265206812652</v>
      </c>
      <c r="H35" s="6">
        <v>3592</v>
      </c>
      <c r="I35" s="6" t="s">
        <v>25</v>
      </c>
      <c r="J35" s="2">
        <v>3</v>
      </c>
      <c r="K35" s="6" t="s">
        <v>33</v>
      </c>
      <c r="N35" s="10"/>
      <c r="O35" s="10"/>
      <c r="P35" s="10"/>
      <c r="Q35" s="10"/>
      <c r="R35" s="10"/>
      <c r="S35" s="10"/>
      <c r="T35" s="10"/>
      <c r="U35" s="10"/>
    </row>
    <row r="36" ht="17.55" spans="1:21">
      <c r="A36" s="3" t="s">
        <v>19</v>
      </c>
      <c r="B36" s="4"/>
      <c r="C36" s="5">
        <f t="shared" ref="C36:H36" si="6">AVERAGE(C33:C35)</f>
        <v>0.663956639566395</v>
      </c>
      <c r="D36" s="5">
        <f t="shared" si="6"/>
        <v>0.678919227997726</v>
      </c>
      <c r="E36" s="5">
        <f t="shared" si="6"/>
        <v>0.737161492076414</v>
      </c>
      <c r="F36" s="5">
        <f t="shared" si="6"/>
        <v>0.473361101729896</v>
      </c>
      <c r="G36" s="5">
        <f t="shared" si="6"/>
        <v>0.66656515950465</v>
      </c>
      <c r="H36" s="9">
        <f t="shared" si="6"/>
        <v>3663</v>
      </c>
      <c r="I36" s="6"/>
      <c r="J36" s="2"/>
      <c r="K36" s="6"/>
      <c r="N36" s="10"/>
      <c r="O36" s="10"/>
      <c r="P36" s="10"/>
      <c r="Q36" s="10"/>
      <c r="R36" s="10"/>
      <c r="S36" s="10"/>
      <c r="T36" s="10"/>
      <c r="U36" s="10"/>
    </row>
    <row r="38" spans="1:11">
      <c r="A38" s="6" t="s">
        <v>13</v>
      </c>
      <c r="B38" s="6" t="s">
        <v>14</v>
      </c>
      <c r="C38" s="6">
        <v>0.515064562410329</v>
      </c>
      <c r="D38" s="6">
        <v>0.46696965859772</v>
      </c>
      <c r="E38" s="6">
        <v>0.633140972794723</v>
      </c>
      <c r="F38" s="6">
        <v>0</v>
      </c>
      <c r="G38" s="6">
        <v>0.402605863192182</v>
      </c>
      <c r="H38" s="6">
        <v>4983</v>
      </c>
      <c r="I38" s="6" t="s">
        <v>15</v>
      </c>
      <c r="J38" s="6">
        <v>1</v>
      </c>
      <c r="K38" s="6" t="s">
        <v>27</v>
      </c>
    </row>
    <row r="39" spans="1:11">
      <c r="A39" s="6" t="s">
        <v>13</v>
      </c>
      <c r="B39" s="6" t="s">
        <v>14</v>
      </c>
      <c r="C39" s="6">
        <v>0.522716403634624</v>
      </c>
      <c r="D39" s="6">
        <v>0.473767189008563</v>
      </c>
      <c r="E39" s="6">
        <v>0.63721881390593</v>
      </c>
      <c r="F39" s="6">
        <v>0</v>
      </c>
      <c r="G39" s="6">
        <v>0.413974950560316</v>
      </c>
      <c r="H39" s="6">
        <v>4983</v>
      </c>
      <c r="I39" s="6" t="s">
        <v>15</v>
      </c>
      <c r="J39" s="6">
        <v>2</v>
      </c>
      <c r="K39" s="6" t="s">
        <v>27</v>
      </c>
    </row>
    <row r="40" spans="1:11">
      <c r="A40" s="6" t="s">
        <v>13</v>
      </c>
      <c r="B40" s="6" t="s">
        <v>14</v>
      </c>
      <c r="C40" s="6">
        <v>0.526064084170253</v>
      </c>
      <c r="D40" s="6">
        <v>0.478519505038813</v>
      </c>
      <c r="E40" s="6">
        <v>0.638385502471169</v>
      </c>
      <c r="F40" s="6">
        <v>0</v>
      </c>
      <c r="G40" s="6">
        <v>0.423728813559322</v>
      </c>
      <c r="H40" s="6">
        <v>5030</v>
      </c>
      <c r="I40" s="6" t="s">
        <v>15</v>
      </c>
      <c r="J40" s="6">
        <v>3</v>
      </c>
      <c r="K40" s="6" t="s">
        <v>27</v>
      </c>
    </row>
    <row r="41" spans="1:11">
      <c r="A41" s="3" t="s">
        <v>19</v>
      </c>
      <c r="B41" s="4"/>
      <c r="C41" s="5">
        <f t="shared" ref="C41:H41" si="7">AVERAGE(C38:C40)</f>
        <v>0.521281683405069</v>
      </c>
      <c r="D41" s="5">
        <f t="shared" si="7"/>
        <v>0.473085450881699</v>
      </c>
      <c r="E41" s="5">
        <f t="shared" si="7"/>
        <v>0.636248429723941</v>
      </c>
      <c r="F41" s="5">
        <f t="shared" si="7"/>
        <v>0</v>
      </c>
      <c r="G41" s="5">
        <f t="shared" si="7"/>
        <v>0.413436542437273</v>
      </c>
      <c r="H41" s="9">
        <f t="shared" si="7"/>
        <v>4998.66666666667</v>
      </c>
      <c r="I41" s="6"/>
      <c r="J41" s="6"/>
      <c r="K41" s="6"/>
    </row>
    <row r="42" spans="1:1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</row>
    <row r="43" spans="1:11">
      <c r="A43" s="6" t="s">
        <v>23</v>
      </c>
      <c r="B43" s="6" t="s">
        <v>24</v>
      </c>
      <c r="C43" s="6">
        <v>0.64131994261119</v>
      </c>
      <c r="D43" s="6">
        <v>0.650685772300077</v>
      </c>
      <c r="E43" s="6">
        <v>0.655555555555555</v>
      </c>
      <c r="F43" s="6">
        <v>0.453292496171516</v>
      </c>
      <c r="G43" s="6">
        <v>0.693556836039811</v>
      </c>
      <c r="H43" s="6">
        <v>2644</v>
      </c>
      <c r="I43" s="6" t="s">
        <v>25</v>
      </c>
      <c r="J43" s="6">
        <v>1</v>
      </c>
      <c r="K43" s="6" t="s">
        <v>34</v>
      </c>
    </row>
    <row r="44" spans="1:11">
      <c r="A44" s="6" t="s">
        <v>23</v>
      </c>
      <c r="B44" s="6" t="s">
        <v>24</v>
      </c>
      <c r="C44" s="6">
        <v>0.653754184600669</v>
      </c>
      <c r="D44" s="6">
        <v>0.662726761521086</v>
      </c>
      <c r="E44" s="6">
        <v>0.672361195851128</v>
      </c>
      <c r="F44" s="6">
        <v>0.471875</v>
      </c>
      <c r="G44" s="6">
        <v>0.6988964792433</v>
      </c>
      <c r="H44" s="6">
        <v>2574</v>
      </c>
      <c r="I44" s="6" t="s">
        <v>25</v>
      </c>
      <c r="J44" s="6">
        <v>2</v>
      </c>
      <c r="K44" s="6" t="s">
        <v>34</v>
      </c>
    </row>
    <row r="45" ht="17.55" spans="1:11">
      <c r="A45" s="6" t="s">
        <v>23</v>
      </c>
      <c r="B45" s="6" t="s">
        <v>24</v>
      </c>
      <c r="C45" s="6">
        <v>0.649450023912003</v>
      </c>
      <c r="D45" s="6">
        <v>0.658726225193349</v>
      </c>
      <c r="E45" s="6">
        <v>0.671173939766441</v>
      </c>
      <c r="F45" s="6">
        <v>0.465625</v>
      </c>
      <c r="G45" s="6">
        <v>0.69242819843342</v>
      </c>
      <c r="H45" s="6">
        <v>2603</v>
      </c>
      <c r="I45" s="6" t="s">
        <v>25</v>
      </c>
      <c r="J45" s="6">
        <v>3</v>
      </c>
      <c r="K45" s="6" t="s">
        <v>34</v>
      </c>
    </row>
    <row r="46" ht="17.55" spans="1:11">
      <c r="A46" s="3" t="s">
        <v>19</v>
      </c>
      <c r="B46" s="4"/>
      <c r="C46" s="5">
        <f t="shared" ref="C46:H46" si="8">AVERAGE(C43:C45)</f>
        <v>0.648174717041287</v>
      </c>
      <c r="D46" s="5">
        <f t="shared" si="8"/>
        <v>0.657379586338171</v>
      </c>
      <c r="E46" s="5">
        <f t="shared" si="8"/>
        <v>0.666363563724375</v>
      </c>
      <c r="F46" s="5">
        <f t="shared" si="8"/>
        <v>0.463597498723839</v>
      </c>
      <c r="G46" s="5">
        <f t="shared" si="8"/>
        <v>0.694960504572177</v>
      </c>
      <c r="H46" s="9">
        <f t="shared" si="8"/>
        <v>2607</v>
      </c>
      <c r="I46" s="6"/>
      <c r="J46" s="6"/>
      <c r="K46" s="6"/>
    </row>
    <row r="48" spans="1:11">
      <c r="A48" s="6" t="s">
        <v>13</v>
      </c>
      <c r="B48" s="6" t="s">
        <v>14</v>
      </c>
      <c r="C48" s="6">
        <v>0.533237685318029</v>
      </c>
      <c r="D48" s="6">
        <v>0.501297278473579</v>
      </c>
      <c r="E48" s="6">
        <v>0.614391143911439</v>
      </c>
      <c r="F48" s="6">
        <v>0.009009009009009</v>
      </c>
      <c r="G48" s="6">
        <v>0.5</v>
      </c>
      <c r="H48" s="6">
        <v>6626</v>
      </c>
      <c r="I48" s="6" t="s">
        <v>15</v>
      </c>
      <c r="J48" s="6">
        <v>1</v>
      </c>
      <c r="K48" s="6" t="s">
        <v>34</v>
      </c>
    </row>
    <row r="49" spans="1:11">
      <c r="A49" s="6" t="s">
        <v>13</v>
      </c>
      <c r="B49" s="6" t="s">
        <v>14</v>
      </c>
      <c r="C49" s="6">
        <v>0.523216850167544</v>
      </c>
      <c r="D49" s="6">
        <v>0.493771698251119</v>
      </c>
      <c r="E49" s="6">
        <v>0.597658079625292</v>
      </c>
      <c r="F49" s="6">
        <v>0.0176991150442477</v>
      </c>
      <c r="G49" s="6">
        <v>0.498624105668684</v>
      </c>
      <c r="H49" s="6">
        <v>7288</v>
      </c>
      <c r="I49" s="6" t="s">
        <v>15</v>
      </c>
      <c r="J49" s="6">
        <v>2</v>
      </c>
      <c r="K49" s="6" t="s">
        <v>34</v>
      </c>
    </row>
    <row r="50" spans="1:11">
      <c r="A50" s="6" t="s">
        <v>13</v>
      </c>
      <c r="B50" s="6" t="s">
        <v>14</v>
      </c>
      <c r="C50" s="6">
        <v>0.53326950694112</v>
      </c>
      <c r="D50" s="6">
        <v>0.50236691529721</v>
      </c>
      <c r="E50" s="6">
        <v>0.608938547486033</v>
      </c>
      <c r="F50" s="6">
        <v>0.00888888888888888</v>
      </c>
      <c r="G50" s="6">
        <v>0.508587257617728</v>
      </c>
      <c r="H50" s="6">
        <v>7023</v>
      </c>
      <c r="I50" s="6" t="s">
        <v>15</v>
      </c>
      <c r="J50" s="6">
        <v>3</v>
      </c>
      <c r="K50" s="6" t="s">
        <v>34</v>
      </c>
    </row>
    <row r="51" spans="1:8">
      <c r="A51" s="3" t="s">
        <v>19</v>
      </c>
      <c r="B51" s="4"/>
      <c r="C51" s="5">
        <f t="shared" ref="C51:H51" si="9">AVERAGE(C48:C50)</f>
        <v>0.529908014142231</v>
      </c>
      <c r="D51" s="5">
        <f t="shared" si="9"/>
        <v>0.499145297340636</v>
      </c>
      <c r="E51" s="5">
        <f t="shared" si="9"/>
        <v>0.606995923674255</v>
      </c>
      <c r="F51" s="5">
        <f t="shared" si="9"/>
        <v>0.0118656709807152</v>
      </c>
      <c r="G51" s="5">
        <f t="shared" si="9"/>
        <v>0.502403787762137</v>
      </c>
      <c r="H51" s="9">
        <f t="shared" si="9"/>
        <v>6979</v>
      </c>
    </row>
    <row r="56" spans="2:2">
      <c r="B56" t="s">
        <v>35</v>
      </c>
    </row>
    <row r="57" spans="1:4">
      <c r="A57" s="7"/>
      <c r="C57" s="7"/>
      <c r="D57" s="8"/>
    </row>
    <row r="59" spans="1:21">
      <c r="A59" s="6" t="s">
        <v>36</v>
      </c>
      <c r="B59" s="6" t="s">
        <v>14</v>
      </c>
      <c r="C59" s="6">
        <v>0.702056432329029</v>
      </c>
      <c r="D59" s="6">
        <v>0.68060321810064</v>
      </c>
      <c r="E59" s="6">
        <v>0.772559366754617</v>
      </c>
      <c r="F59" s="6">
        <v>0.183206106870229</v>
      </c>
      <c r="G59" s="6">
        <v>0.703209876543209</v>
      </c>
      <c r="H59" s="6">
        <v>121411</v>
      </c>
      <c r="I59" s="6" t="s">
        <v>37</v>
      </c>
      <c r="J59" s="6">
        <v>1</v>
      </c>
      <c r="K59" s="6" t="s">
        <v>16</v>
      </c>
      <c r="N59" s="10" t="s">
        <v>38</v>
      </c>
      <c r="O59" s="10"/>
      <c r="P59" s="10"/>
      <c r="Q59" s="10"/>
      <c r="R59" s="10"/>
      <c r="S59" s="10"/>
      <c r="T59" s="10"/>
      <c r="U59" s="10"/>
    </row>
    <row r="60" spans="1:11">
      <c r="A60" s="6" t="s">
        <v>36</v>
      </c>
      <c r="B60" s="6" t="s">
        <v>14</v>
      </c>
      <c r="C60" s="6">
        <v>0.700143472022955</v>
      </c>
      <c r="D60" s="6">
        <v>0.676397236012837</v>
      </c>
      <c r="E60" s="6">
        <v>0.772391991570073</v>
      </c>
      <c r="F60" s="6">
        <v>0.159362549800796</v>
      </c>
      <c r="G60" s="6">
        <v>0.699458927693064</v>
      </c>
      <c r="H60" s="6">
        <v>117182</v>
      </c>
      <c r="I60" s="6" t="s">
        <v>37</v>
      </c>
      <c r="J60" s="6">
        <v>2</v>
      </c>
      <c r="K60" s="6" t="s">
        <v>16</v>
      </c>
    </row>
    <row r="61" ht="17.55" spans="1:11">
      <c r="A61" s="6" t="s">
        <v>36</v>
      </c>
      <c r="B61" s="6" t="s">
        <v>14</v>
      </c>
      <c r="C61" s="6">
        <v>0.703969392635102</v>
      </c>
      <c r="D61" s="6">
        <v>0.68069352395591</v>
      </c>
      <c r="E61" s="6">
        <v>0.773135906927551</v>
      </c>
      <c r="F61" s="6">
        <v>0.176</v>
      </c>
      <c r="G61" s="6">
        <v>0.704556589906908</v>
      </c>
      <c r="H61" s="6">
        <v>118844</v>
      </c>
      <c r="I61" s="6" t="s">
        <v>37</v>
      </c>
      <c r="J61" s="6">
        <v>3</v>
      </c>
      <c r="K61" s="6" t="s">
        <v>16</v>
      </c>
    </row>
    <row r="62" ht="17.55" spans="1:11">
      <c r="A62" s="3" t="s">
        <v>19</v>
      </c>
      <c r="B62" s="4"/>
      <c r="C62" s="5">
        <f>AVERAGE(C59:C61)</f>
        <v>0.702056432329029</v>
      </c>
      <c r="D62" s="5">
        <f t="shared" ref="C62:H62" si="10">AVERAGE(D59:D61)</f>
        <v>0.679231326023129</v>
      </c>
      <c r="E62" s="5">
        <f t="shared" si="10"/>
        <v>0.77269575508408</v>
      </c>
      <c r="F62" s="5">
        <f t="shared" si="10"/>
        <v>0.172856218890342</v>
      </c>
      <c r="G62" s="5">
        <f t="shared" si="10"/>
        <v>0.702408464714394</v>
      </c>
      <c r="H62" s="9">
        <f t="shared" si="10"/>
        <v>119145.666666667</v>
      </c>
      <c r="I62" s="6"/>
      <c r="J62" s="6"/>
      <c r="K62" s="6"/>
    </row>
    <row r="64" spans="1:21">
      <c r="A64" s="6" t="s">
        <v>39</v>
      </c>
      <c r="B64" s="6" t="s">
        <v>14</v>
      </c>
      <c r="C64" s="6">
        <v>0.624103299856528</v>
      </c>
      <c r="D64" s="6">
        <v>0.598963969307702</v>
      </c>
      <c r="E64" s="6">
        <v>0.731292517006802</v>
      </c>
      <c r="F64" s="6">
        <v>0.497175141242937</v>
      </c>
      <c r="G64" s="6">
        <v>0.481909160892994</v>
      </c>
      <c r="H64" s="6">
        <v>8037</v>
      </c>
      <c r="I64" s="6" t="s">
        <v>31</v>
      </c>
      <c r="J64" s="6">
        <v>1</v>
      </c>
      <c r="K64" s="6" t="s">
        <v>16</v>
      </c>
      <c r="M64" t="s">
        <v>40</v>
      </c>
      <c r="U64" t="s">
        <v>41</v>
      </c>
    </row>
    <row r="65" spans="1:41">
      <c r="A65" s="6" t="s">
        <v>39</v>
      </c>
      <c r="B65" s="6" t="s">
        <v>14</v>
      </c>
      <c r="C65" s="6">
        <v>0.623625059780009</v>
      </c>
      <c r="D65" s="6">
        <v>0.598717612560456</v>
      </c>
      <c r="E65" s="6">
        <v>0.731998295696634</v>
      </c>
      <c r="F65" s="6">
        <v>0.494296577946768</v>
      </c>
      <c r="G65" s="6">
        <v>0.481283422459893</v>
      </c>
      <c r="H65" s="6">
        <v>8017</v>
      </c>
      <c r="I65" s="6" t="s">
        <v>31</v>
      </c>
      <c r="J65" s="6">
        <v>2</v>
      </c>
      <c r="K65" s="6" t="s">
        <v>16</v>
      </c>
      <c r="AA65" t="s">
        <v>42</v>
      </c>
      <c r="AJ65" t="s">
        <v>43</v>
      </c>
      <c r="AO65" t="s">
        <v>44</v>
      </c>
    </row>
    <row r="66" spans="1:11">
      <c r="A66" s="6" t="s">
        <v>39</v>
      </c>
      <c r="B66" s="6" t="s">
        <v>14</v>
      </c>
      <c r="C66" s="6">
        <v>0.620755619320899</v>
      </c>
      <c r="D66" s="6">
        <v>0.595315513864731</v>
      </c>
      <c r="E66" s="6">
        <v>0.729672200936568</v>
      </c>
      <c r="F66" s="6">
        <v>0.494296577946768</v>
      </c>
      <c r="G66" s="6">
        <v>0.475899005355776</v>
      </c>
      <c r="H66" s="6">
        <v>8015</v>
      </c>
      <c r="I66" s="6" t="s">
        <v>31</v>
      </c>
      <c r="J66" s="6">
        <v>3</v>
      </c>
      <c r="K66" s="6" t="s">
        <v>16</v>
      </c>
    </row>
    <row r="67" spans="1:11">
      <c r="A67" s="3" t="s">
        <v>19</v>
      </c>
      <c r="B67" s="4"/>
      <c r="C67" s="5">
        <f t="shared" ref="C67:H67" si="11">AVERAGE(C64:C66)</f>
        <v>0.622827992985812</v>
      </c>
      <c r="D67" s="5">
        <f t="shared" si="11"/>
        <v>0.59766569857763</v>
      </c>
      <c r="E67" s="5">
        <f t="shared" si="11"/>
        <v>0.730987671213335</v>
      </c>
      <c r="F67" s="5">
        <f t="shared" si="11"/>
        <v>0.495256099045491</v>
      </c>
      <c r="G67" s="5">
        <f t="shared" si="11"/>
        <v>0.479697196236221</v>
      </c>
      <c r="H67" s="9">
        <f t="shared" si="11"/>
        <v>8023</v>
      </c>
      <c r="I67" s="6"/>
      <c r="J67" s="6"/>
      <c r="K67" s="6"/>
    </row>
    <row r="69" spans="1:11">
      <c r="A69" s="6" t="s">
        <v>45</v>
      </c>
      <c r="B69" s="6" t="s">
        <v>14</v>
      </c>
      <c r="C69" s="6">
        <v>0.605363984674329</v>
      </c>
      <c r="D69" s="6">
        <v>0.60783982909004</v>
      </c>
      <c r="E69" s="6">
        <v>0.65519096288327</v>
      </c>
      <c r="F69" s="6">
        <v>0.483739837398374</v>
      </c>
      <c r="G69" s="6">
        <v>0.587397260273972</v>
      </c>
      <c r="H69" s="6">
        <v>126196</v>
      </c>
      <c r="I69" s="6" t="s">
        <v>31</v>
      </c>
      <c r="J69" s="6">
        <v>1</v>
      </c>
      <c r="K69" s="6" t="s">
        <v>16</v>
      </c>
    </row>
    <row r="70" spans="1:11">
      <c r="A70" s="6" t="s">
        <v>45</v>
      </c>
      <c r="B70" s="6" t="s">
        <v>14</v>
      </c>
      <c r="C70" s="6"/>
      <c r="D70" s="6"/>
      <c r="E70" s="6"/>
      <c r="F70" s="6"/>
      <c r="G70" s="6"/>
      <c r="H70" s="6"/>
      <c r="I70" s="6" t="s">
        <v>31</v>
      </c>
      <c r="J70" s="6">
        <v>2</v>
      </c>
      <c r="K70" s="6" t="s">
        <v>16</v>
      </c>
    </row>
    <row r="71" spans="1:11">
      <c r="A71" s="6" t="s">
        <v>45</v>
      </c>
      <c r="B71" s="6" t="s">
        <v>14</v>
      </c>
      <c r="C71" s="6"/>
      <c r="D71" s="6"/>
      <c r="E71" s="6"/>
      <c r="F71" s="6"/>
      <c r="G71" s="6"/>
      <c r="H71" s="6"/>
      <c r="I71" s="6" t="s">
        <v>31</v>
      </c>
      <c r="J71" s="6">
        <v>3</v>
      </c>
      <c r="K71" s="6" t="s">
        <v>16</v>
      </c>
    </row>
    <row r="72" spans="1:1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</row>
    <row r="73" spans="1:1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</row>
    <row r="74" spans="1:11">
      <c r="A74" s="6" t="s">
        <v>46</v>
      </c>
      <c r="B74" s="6"/>
      <c r="C74" s="6"/>
      <c r="D74" s="6"/>
      <c r="E74" s="6"/>
      <c r="F74" s="6"/>
      <c r="G74" s="6"/>
      <c r="H74" s="6"/>
      <c r="I74" s="6"/>
      <c r="J74" s="6"/>
      <c r="K74" s="6"/>
    </row>
    <row r="75" spans="1:11">
      <c r="A75" s="6" t="s">
        <v>13</v>
      </c>
      <c r="B75" s="6" t="s">
        <v>47</v>
      </c>
      <c r="C75" s="6">
        <v>0.4776</v>
      </c>
      <c r="D75" s="6">
        <v>0.4278</v>
      </c>
      <c r="E75" s="6">
        <v>0.6029</v>
      </c>
      <c r="F75" s="6">
        <v>0.0536</v>
      </c>
      <c r="G75" s="6">
        <v>0.3314</v>
      </c>
      <c r="H75" s="6">
        <v>4860</v>
      </c>
      <c r="I75" s="6" t="s">
        <v>15</v>
      </c>
      <c r="J75" s="6">
        <v>1</v>
      </c>
      <c r="K75" s="6" t="s">
        <v>48</v>
      </c>
    </row>
    <row r="76" spans="1:1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</row>
    <row r="77" spans="1:11">
      <c r="A77" s="6" t="s">
        <v>20</v>
      </c>
      <c r="B77" s="6" t="s">
        <v>47</v>
      </c>
      <c r="C77" s="6">
        <v>0.527</v>
      </c>
      <c r="D77" s="6">
        <v>0.4876</v>
      </c>
      <c r="E77" s="6">
        <v>0.4863</v>
      </c>
      <c r="F77" s="6">
        <v>0.0248</v>
      </c>
      <c r="G77" s="6">
        <v>0.6018</v>
      </c>
      <c r="H77" s="6">
        <v>5340</v>
      </c>
      <c r="I77" s="6" t="s">
        <v>15</v>
      </c>
      <c r="J77" s="6">
        <v>1</v>
      </c>
      <c r="K77" s="6" t="s">
        <v>48</v>
      </c>
    </row>
    <row r="78" spans="1:1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</row>
    <row r="79" spans="1:11">
      <c r="A79" s="6" t="s">
        <v>30</v>
      </c>
      <c r="B79" s="6" t="s">
        <v>47</v>
      </c>
      <c r="C79" s="6">
        <v>0.5872</v>
      </c>
      <c r="D79" s="6">
        <v>0.5948</v>
      </c>
      <c r="E79" s="6">
        <v>0.656</v>
      </c>
      <c r="F79" s="6">
        <v>0.4427</v>
      </c>
      <c r="G79" s="6">
        <v>0.5664</v>
      </c>
      <c r="H79" s="6">
        <v>6840</v>
      </c>
      <c r="I79" s="6" t="s">
        <v>15</v>
      </c>
      <c r="J79" s="6">
        <v>1</v>
      </c>
      <c r="K79" s="6" t="s">
        <v>48</v>
      </c>
    </row>
    <row r="80" spans="1:1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</row>
    <row r="81" spans="1:11">
      <c r="A81" s="6" t="s">
        <v>39</v>
      </c>
      <c r="B81" s="6" t="s">
        <v>47</v>
      </c>
      <c r="C81" s="6">
        <v>0.571</v>
      </c>
      <c r="D81" s="6">
        <v>0.536</v>
      </c>
      <c r="E81" s="6">
        <v>0.4493</v>
      </c>
      <c r="F81" s="6">
        <v>0.3969</v>
      </c>
      <c r="G81" s="6">
        <v>0.6628</v>
      </c>
      <c r="H81" s="6">
        <v>5400</v>
      </c>
      <c r="I81" s="6" t="s">
        <v>15</v>
      </c>
      <c r="J81" s="6">
        <v>1</v>
      </c>
      <c r="K81" s="6" t="s">
        <v>48</v>
      </c>
    </row>
    <row r="82" spans="1:11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</row>
    <row r="83" spans="1:1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</row>
    <row r="84" spans="1:11">
      <c r="A84" s="6" t="s">
        <v>23</v>
      </c>
      <c r="B84" s="6" t="s">
        <v>24</v>
      </c>
      <c r="C84" s="6">
        <v>0.690578670492587</v>
      </c>
      <c r="D84" s="6">
        <v>0.710769940814938</v>
      </c>
      <c r="E84" s="6">
        <v>0.791916985253959</v>
      </c>
      <c r="F84" s="6">
        <v>0.486552567237163</v>
      </c>
      <c r="G84" s="6">
        <v>0.678408349641226</v>
      </c>
      <c r="H84" s="6">
        <v>3389</v>
      </c>
      <c r="I84" s="6" t="s">
        <v>25</v>
      </c>
      <c r="J84" s="6">
        <v>1</v>
      </c>
      <c r="K84" s="6" t="s">
        <v>49</v>
      </c>
    </row>
    <row r="85" ht="23.2" spans="1:1">
      <c r="A85" s="14"/>
    </row>
    <row r="86" spans="1:11">
      <c r="A86" s="6" t="s">
        <v>50</v>
      </c>
      <c r="B86" s="6" t="s">
        <v>47</v>
      </c>
      <c r="C86" s="6">
        <v>0.754662840746054</v>
      </c>
      <c r="D86" s="6">
        <v>0.767568046920351</v>
      </c>
      <c r="E86" s="6">
        <v>0.833929483903934</v>
      </c>
      <c r="F86" s="6">
        <v>0.508320726172465</v>
      </c>
      <c r="G86" s="6">
        <v>0.759590792838874</v>
      </c>
      <c r="H86" s="6">
        <v>11756</v>
      </c>
      <c r="I86" s="6" t="s">
        <v>25</v>
      </c>
      <c r="J86" s="6">
        <v>1</v>
      </c>
      <c r="K86" s="6" t="s">
        <v>16</v>
      </c>
    </row>
    <row r="87" spans="1:11">
      <c r="A87" s="6" t="s">
        <v>50</v>
      </c>
      <c r="B87" s="6" t="s">
        <v>47</v>
      </c>
      <c r="C87" s="6">
        <v>0.746054519368723</v>
      </c>
      <c r="D87" s="6">
        <v>0.759183113934743</v>
      </c>
      <c r="E87" s="6">
        <v>0.827868852459016</v>
      </c>
      <c r="F87" s="6">
        <v>0.499248120300751</v>
      </c>
      <c r="G87" s="6">
        <v>0.74888178913738</v>
      </c>
      <c r="H87" s="6">
        <v>9659</v>
      </c>
      <c r="I87" s="6" t="s">
        <v>25</v>
      </c>
      <c r="J87" s="6">
        <v>2</v>
      </c>
      <c r="K87" s="6" t="s">
        <v>16</v>
      </c>
    </row>
    <row r="88" ht="17.55" spans="1:11">
      <c r="A88" s="6" t="s">
        <v>50</v>
      </c>
      <c r="B88" s="6" t="s">
        <v>47</v>
      </c>
      <c r="C88" s="6">
        <v>0.747489239598278</v>
      </c>
      <c r="D88" s="6">
        <v>0.760804202124437</v>
      </c>
      <c r="E88" s="6">
        <v>0.831885539090444</v>
      </c>
      <c r="F88" s="6">
        <v>0.497005988023952</v>
      </c>
      <c r="G88" s="6">
        <v>0.748876043673731</v>
      </c>
      <c r="H88" s="6">
        <v>9779</v>
      </c>
      <c r="I88" s="6" t="s">
        <v>25</v>
      </c>
      <c r="J88" s="6">
        <v>3</v>
      </c>
      <c r="K88" s="6" t="s">
        <v>16</v>
      </c>
    </row>
    <row r="89" ht="17.55" spans="1:8">
      <c r="A89" s="3" t="s">
        <v>19</v>
      </c>
      <c r="B89" s="4"/>
      <c r="C89" s="5">
        <f t="shared" ref="C89:H89" si="12">AVERAGE(C86:C88)</f>
        <v>0.749402199904352</v>
      </c>
      <c r="D89" s="5">
        <f t="shared" si="12"/>
        <v>0.76251845432651</v>
      </c>
      <c r="E89" s="5">
        <f t="shared" si="12"/>
        <v>0.831227958484465</v>
      </c>
      <c r="F89" s="5">
        <f t="shared" si="12"/>
        <v>0.501524944832389</v>
      </c>
      <c r="G89" s="5">
        <f t="shared" si="12"/>
        <v>0.752449541883328</v>
      </c>
      <c r="H89" s="9">
        <f t="shared" si="12"/>
        <v>10398</v>
      </c>
    </row>
    <row r="90" ht="23.2" spans="1:1">
      <c r="A90" s="14"/>
    </row>
    <row r="91" spans="1:11">
      <c r="A91" s="6" t="s">
        <v>51</v>
      </c>
      <c r="B91" s="6" t="s">
        <v>47</v>
      </c>
      <c r="C91" s="6">
        <v>0.794356767097082</v>
      </c>
      <c r="D91" s="6">
        <v>0.800235146190815</v>
      </c>
      <c r="E91" s="6">
        <v>0.875739644970414</v>
      </c>
      <c r="F91" s="6">
        <v>0.578861788617886</v>
      </c>
      <c r="G91" s="6">
        <v>0.773229369720597</v>
      </c>
      <c r="H91" s="6">
        <v>45061</v>
      </c>
      <c r="I91" s="6" t="s">
        <v>25</v>
      </c>
      <c r="J91" s="6">
        <v>1</v>
      </c>
      <c r="K91" s="6" t="s">
        <v>16</v>
      </c>
    </row>
    <row r="92" spans="1:11">
      <c r="A92" s="6" t="s">
        <v>51</v>
      </c>
      <c r="B92" s="6" t="s">
        <v>47</v>
      </c>
      <c r="C92" s="6">
        <v>0.788139646102343</v>
      </c>
      <c r="D92" s="6">
        <v>0.794905497716044</v>
      </c>
      <c r="E92" s="6">
        <v>0.874938210578349</v>
      </c>
      <c r="F92" s="6">
        <v>0.560897435897435</v>
      </c>
      <c r="G92" s="6">
        <v>0.766123778501628</v>
      </c>
      <c r="H92" s="6">
        <v>9345</v>
      </c>
      <c r="I92" s="6" t="s">
        <v>25</v>
      </c>
      <c r="J92" s="6">
        <v>2</v>
      </c>
      <c r="K92" s="6" t="s">
        <v>16</v>
      </c>
    </row>
    <row r="93" ht="17.55" spans="1:11">
      <c r="A93" s="6" t="s">
        <v>51</v>
      </c>
      <c r="B93" s="6" t="s">
        <v>47</v>
      </c>
      <c r="C93" s="6">
        <v>0.792443806791009</v>
      </c>
      <c r="D93" s="6">
        <v>0.79806079497044</v>
      </c>
      <c r="E93" s="6">
        <v>0.87641555883801</v>
      </c>
      <c r="F93" s="6">
        <v>0.576985413290113</v>
      </c>
      <c r="G93" s="6">
        <v>0.767926988265971</v>
      </c>
      <c r="H93" s="6">
        <v>9035</v>
      </c>
      <c r="I93" s="6" t="s">
        <v>25</v>
      </c>
      <c r="J93" s="6">
        <v>3</v>
      </c>
      <c r="K93" s="6" t="s">
        <v>16</v>
      </c>
    </row>
    <row r="94" ht="17.55" spans="1:8">
      <c r="A94" s="3" t="s">
        <v>19</v>
      </c>
      <c r="B94" s="4"/>
      <c r="C94" s="5">
        <f t="shared" ref="C94:H94" si="13">AVERAGE(C91:C93)</f>
        <v>0.791646739996811</v>
      </c>
      <c r="D94" s="5">
        <f t="shared" si="13"/>
        <v>0.7977338129591</v>
      </c>
      <c r="E94" s="5">
        <f t="shared" si="13"/>
        <v>0.875697804795591</v>
      </c>
      <c r="F94" s="5">
        <f t="shared" si="13"/>
        <v>0.572248212601811</v>
      </c>
      <c r="G94" s="5">
        <f t="shared" si="13"/>
        <v>0.769093378829399</v>
      </c>
      <c r="H94" s="9">
        <f t="shared" si="13"/>
        <v>21147</v>
      </c>
    </row>
    <row r="95" spans="1:11">
      <c r="A95" s="6"/>
      <c r="B95" s="6"/>
      <c r="C95" s="15"/>
      <c r="D95" s="15"/>
      <c r="E95" s="15"/>
      <c r="F95" s="15"/>
      <c r="G95" s="15"/>
      <c r="H95" s="15"/>
      <c r="I95" s="6"/>
      <c r="J95" s="6"/>
      <c r="K95" s="16"/>
    </row>
    <row r="96" spans="1:11">
      <c r="A96" s="6" t="s">
        <v>50</v>
      </c>
      <c r="B96" s="6" t="s">
        <v>47</v>
      </c>
      <c r="C96" s="6">
        <v>0.781922525107604</v>
      </c>
      <c r="D96" s="6">
        <v>0.789065195200041</v>
      </c>
      <c r="E96" s="6">
        <v>0.84321608040201</v>
      </c>
      <c r="F96" s="6">
        <v>0.562180579216354</v>
      </c>
      <c r="G96" s="6">
        <v>0.786292834890965</v>
      </c>
      <c r="H96" s="6">
        <v>45298</v>
      </c>
      <c r="I96" s="6" t="s">
        <v>25</v>
      </c>
      <c r="J96" s="6">
        <v>1</v>
      </c>
      <c r="K96" s="6" t="s">
        <v>27</v>
      </c>
    </row>
    <row r="97" spans="1:11">
      <c r="A97" s="6" t="s">
        <v>50</v>
      </c>
      <c r="B97" s="6" t="s">
        <v>47</v>
      </c>
      <c r="C97" s="6">
        <v>0.785748445719751</v>
      </c>
      <c r="D97" s="6">
        <v>0.793493178416242</v>
      </c>
      <c r="E97" s="6">
        <v>0.850226928895612</v>
      </c>
      <c r="F97" s="6">
        <v>0.55593220338983</v>
      </c>
      <c r="G97" s="6">
        <v>0.7905531385954</v>
      </c>
      <c r="H97" s="6">
        <v>9654</v>
      </c>
      <c r="I97" s="6" t="s">
        <v>25</v>
      </c>
      <c r="J97" s="6">
        <v>2</v>
      </c>
      <c r="K97" s="6" t="s">
        <v>27</v>
      </c>
    </row>
    <row r="98" ht="17.55" spans="1:11">
      <c r="A98" s="6" t="s">
        <v>50</v>
      </c>
      <c r="B98" s="6" t="s">
        <v>47</v>
      </c>
      <c r="C98" s="6">
        <v>0.781922525107604</v>
      </c>
      <c r="D98" s="6">
        <v>0.788578768279107</v>
      </c>
      <c r="E98" s="6">
        <v>0.844064386317907</v>
      </c>
      <c r="F98" s="6">
        <v>0.560553633217993</v>
      </c>
      <c r="G98" s="6">
        <v>0.784653465346534</v>
      </c>
      <c r="H98" s="6">
        <v>9688</v>
      </c>
      <c r="I98" s="6" t="s">
        <v>25</v>
      </c>
      <c r="J98" s="6">
        <v>3</v>
      </c>
      <c r="K98" s="6" t="s">
        <v>27</v>
      </c>
    </row>
    <row r="99" ht="17.55" spans="1:8">
      <c r="A99" s="3" t="s">
        <v>19</v>
      </c>
      <c r="B99" s="4"/>
      <c r="C99" s="5">
        <f t="shared" ref="C99:H99" si="14">AVERAGE(C96:C98)</f>
        <v>0.78319783197832</v>
      </c>
      <c r="D99" s="5">
        <f t="shared" si="14"/>
        <v>0.790379047298463</v>
      </c>
      <c r="E99" s="5">
        <f t="shared" si="14"/>
        <v>0.84583579853851</v>
      </c>
      <c r="F99" s="5">
        <f t="shared" si="14"/>
        <v>0.559555471941392</v>
      </c>
      <c r="G99" s="5">
        <f t="shared" si="14"/>
        <v>0.787166479610966</v>
      </c>
      <c r="H99" s="9">
        <f t="shared" si="14"/>
        <v>21546.6666666667</v>
      </c>
    </row>
    <row r="100" ht="23.2" spans="1:1">
      <c r="A100" s="14"/>
    </row>
    <row r="101" spans="1:11">
      <c r="A101" s="6" t="s">
        <v>51</v>
      </c>
      <c r="B101" s="6" t="s">
        <v>47</v>
      </c>
      <c r="C101" s="6">
        <v>0.790052606408417</v>
      </c>
      <c r="D101" s="6">
        <v>0.79596590865077</v>
      </c>
      <c r="E101" s="6">
        <v>0.867611138251099</v>
      </c>
      <c r="F101" s="6">
        <v>0.570962479608482</v>
      </c>
      <c r="G101" s="6">
        <v>0.773981603153745</v>
      </c>
      <c r="H101" s="6">
        <v>6306</v>
      </c>
      <c r="I101" s="6" t="s">
        <v>25</v>
      </c>
      <c r="J101" s="6">
        <v>1</v>
      </c>
      <c r="K101" s="6" t="s">
        <v>27</v>
      </c>
    </row>
    <row r="102" spans="1:11">
      <c r="A102" s="6" t="s">
        <v>51</v>
      </c>
      <c r="B102" s="6" t="s">
        <v>47</v>
      </c>
      <c r="C102" s="6">
        <v>0.790530846484935</v>
      </c>
      <c r="D102" s="6">
        <v>0.796659126167093</v>
      </c>
      <c r="E102" s="6">
        <v>0.8642578125</v>
      </c>
      <c r="F102" s="6">
        <v>0.572831423895253</v>
      </c>
      <c r="G102" s="6">
        <v>0.778726198292843</v>
      </c>
      <c r="H102" s="6">
        <v>6243</v>
      </c>
      <c r="I102" s="6" t="s">
        <v>25</v>
      </c>
      <c r="J102" s="6">
        <v>2</v>
      </c>
      <c r="K102" s="6" t="s">
        <v>27</v>
      </c>
    </row>
    <row r="103" ht="17.55" spans="1:11">
      <c r="A103" s="6" t="s">
        <v>51</v>
      </c>
      <c r="B103" s="6" t="s">
        <v>47</v>
      </c>
      <c r="C103" s="6">
        <v>0.791487326637972</v>
      </c>
      <c r="D103" s="6">
        <v>0.797463501289638</v>
      </c>
      <c r="E103" s="6">
        <v>0.869437652811735</v>
      </c>
      <c r="F103" s="6">
        <v>0.568144499178981</v>
      </c>
      <c r="G103" s="6">
        <v>0.776178010471204</v>
      </c>
      <c r="H103" s="6">
        <v>6265</v>
      </c>
      <c r="I103" s="6" t="s">
        <v>25</v>
      </c>
      <c r="J103" s="6">
        <v>3</v>
      </c>
      <c r="K103" s="6" t="s">
        <v>27</v>
      </c>
    </row>
    <row r="104" ht="17.55" spans="1:8">
      <c r="A104" s="3" t="s">
        <v>19</v>
      </c>
      <c r="B104" s="4"/>
      <c r="C104" s="5">
        <f t="shared" ref="C104:H104" si="15">AVERAGE(C101:C103)</f>
        <v>0.790690259843775</v>
      </c>
      <c r="D104" s="5">
        <f t="shared" si="15"/>
        <v>0.7966961787025</v>
      </c>
      <c r="E104" s="5">
        <f t="shared" si="15"/>
        <v>0.867102201187611</v>
      </c>
      <c r="F104" s="5">
        <f t="shared" si="15"/>
        <v>0.570646134227572</v>
      </c>
      <c r="G104" s="5">
        <f t="shared" si="15"/>
        <v>0.776295270639264</v>
      </c>
      <c r="H104" s="9">
        <f t="shared" si="15"/>
        <v>6271.33333333333</v>
      </c>
    </row>
    <row r="105" ht="23.2" spans="1:1">
      <c r="A105" s="14"/>
    </row>
    <row r="106" spans="1:11">
      <c r="A106" s="6" t="s">
        <v>50</v>
      </c>
      <c r="B106" s="6" t="s">
        <v>47</v>
      </c>
      <c r="C106" s="6">
        <v>0.758010521281683</v>
      </c>
      <c r="D106" s="6">
        <v>0.759283898323201</v>
      </c>
      <c r="E106" s="6">
        <v>0.838158519221642</v>
      </c>
      <c r="F106" s="6">
        <v>0.562814070351758</v>
      </c>
      <c r="G106" s="6">
        <v>0.722598105548037</v>
      </c>
      <c r="H106" s="6">
        <v>12950</v>
      </c>
      <c r="I106" s="6" t="s">
        <v>25</v>
      </c>
      <c r="J106" s="6">
        <v>1</v>
      </c>
      <c r="K106" s="6" t="s">
        <v>33</v>
      </c>
    </row>
    <row r="107" spans="1:11">
      <c r="A107" s="6" t="s">
        <v>50</v>
      </c>
      <c r="B107" s="6" t="s">
        <v>47</v>
      </c>
      <c r="C107" s="6">
        <v>0.767575322812051</v>
      </c>
      <c r="D107" s="6">
        <v>0.76797144082677</v>
      </c>
      <c r="E107" s="6">
        <v>0.840952380952381</v>
      </c>
      <c r="F107" s="6">
        <v>0.594501718213058</v>
      </c>
      <c r="G107" s="6">
        <v>0.732</v>
      </c>
      <c r="H107" s="6">
        <v>12978</v>
      </c>
      <c r="I107" s="6" t="s">
        <v>25</v>
      </c>
      <c r="J107" s="6">
        <v>2</v>
      </c>
      <c r="K107" s="6" t="s">
        <v>33</v>
      </c>
    </row>
    <row r="108" ht="17.55" spans="1:11">
      <c r="A108" s="6" t="s">
        <v>50</v>
      </c>
      <c r="B108" s="6" t="s">
        <v>47</v>
      </c>
      <c r="C108" s="6">
        <v>0.754184600669536</v>
      </c>
      <c r="D108" s="6">
        <v>0.75883842063412</v>
      </c>
      <c r="E108" s="6">
        <v>0.830828889966068</v>
      </c>
      <c r="F108" s="6">
        <v>0.540630182421227</v>
      </c>
      <c r="G108" s="6">
        <v>0.734828496042216</v>
      </c>
      <c r="H108" s="6">
        <v>42497</v>
      </c>
      <c r="I108" s="6" t="s">
        <v>25</v>
      </c>
      <c r="J108" s="6">
        <v>3</v>
      </c>
      <c r="K108" s="6" t="s">
        <v>33</v>
      </c>
    </row>
    <row r="109" ht="17.55" spans="1:8">
      <c r="A109" s="3" t="s">
        <v>19</v>
      </c>
      <c r="B109" s="4"/>
      <c r="C109" s="5">
        <f t="shared" ref="C109:H109" si="16">AVERAGE(C106:C108)</f>
        <v>0.759923481587757</v>
      </c>
      <c r="D109" s="5">
        <f t="shared" si="16"/>
        <v>0.762031253261364</v>
      </c>
      <c r="E109" s="5">
        <f t="shared" si="16"/>
        <v>0.836646596713364</v>
      </c>
      <c r="F109" s="5">
        <f t="shared" si="16"/>
        <v>0.565981990328681</v>
      </c>
      <c r="G109" s="5">
        <f t="shared" si="16"/>
        <v>0.729808867196751</v>
      </c>
      <c r="H109" s="9">
        <f t="shared" si="16"/>
        <v>22808.3333333333</v>
      </c>
    </row>
    <row r="110" ht="23.2" spans="1:1">
      <c r="A110" s="14"/>
    </row>
    <row r="111" spans="1:11">
      <c r="A111" s="6" t="s">
        <v>51</v>
      </c>
      <c r="B111" s="6" t="s">
        <v>47</v>
      </c>
      <c r="C111" s="6">
        <v>0.77092300334768</v>
      </c>
      <c r="D111" s="6">
        <v>0.775172794092729</v>
      </c>
      <c r="E111" s="6">
        <v>0.854227405247813</v>
      </c>
      <c r="F111" s="6">
        <v>0.565428109854604</v>
      </c>
      <c r="G111" s="6">
        <v>0.741528239202657</v>
      </c>
      <c r="H111" s="6">
        <v>9157</v>
      </c>
      <c r="I111" s="6" t="s">
        <v>25</v>
      </c>
      <c r="J111" s="6">
        <v>1</v>
      </c>
      <c r="K111" s="6" t="s">
        <v>33</v>
      </c>
    </row>
    <row r="112" spans="1:11">
      <c r="A112" s="6" t="s">
        <v>51</v>
      </c>
      <c r="B112" s="6" t="s">
        <v>47</v>
      </c>
      <c r="C112" s="6">
        <v>0.783835485413677</v>
      </c>
      <c r="D112" s="6">
        <v>0.787329055960638</v>
      </c>
      <c r="E112" s="6">
        <v>0.864472410454985</v>
      </c>
      <c r="F112" s="6">
        <v>0.578073089700996</v>
      </c>
      <c r="G112" s="6">
        <v>0.7556142668428</v>
      </c>
      <c r="H112" s="6">
        <v>28695</v>
      </c>
      <c r="I112" s="6" t="s">
        <v>25</v>
      </c>
      <c r="J112" s="6">
        <v>2</v>
      </c>
      <c r="K112" s="6" t="s">
        <v>33</v>
      </c>
    </row>
    <row r="113" ht="17.55" spans="1:11">
      <c r="A113" s="6" t="s">
        <v>51</v>
      </c>
      <c r="B113" s="6" t="s">
        <v>47</v>
      </c>
      <c r="C113" s="6">
        <v>0.778574844571975</v>
      </c>
      <c r="D113" s="6">
        <v>0.782394939568196</v>
      </c>
      <c r="E113" s="6">
        <v>0.857558139534883</v>
      </c>
      <c r="F113" s="6">
        <v>0.567114093959731</v>
      </c>
      <c r="G113" s="6">
        <v>0.754270696452036</v>
      </c>
      <c r="H113" s="6">
        <v>19267</v>
      </c>
      <c r="I113" s="6" t="s">
        <v>25</v>
      </c>
      <c r="J113" s="6">
        <v>3</v>
      </c>
      <c r="K113" s="6" t="s">
        <v>33</v>
      </c>
    </row>
    <row r="114" ht="17.55" spans="1:8">
      <c r="A114" s="3" t="s">
        <v>19</v>
      </c>
      <c r="B114" s="4"/>
      <c r="C114" s="5">
        <f t="shared" ref="C114:H114" si="17">AVERAGE(C111:C113)</f>
        <v>0.777777777777777</v>
      </c>
      <c r="D114" s="5">
        <f t="shared" si="17"/>
        <v>0.781632263207188</v>
      </c>
      <c r="E114" s="5">
        <f t="shared" si="17"/>
        <v>0.858752651745894</v>
      </c>
      <c r="F114" s="5">
        <f t="shared" si="17"/>
        <v>0.570205097838444</v>
      </c>
      <c r="G114" s="5">
        <f t="shared" si="17"/>
        <v>0.750471067499164</v>
      </c>
      <c r="H114" s="9">
        <f t="shared" si="17"/>
        <v>19039.6666666667</v>
      </c>
    </row>
    <row r="115" ht="23.2" spans="1:1">
      <c r="A115" s="14"/>
    </row>
    <row r="116" spans="1:11">
      <c r="A116" s="6" t="s">
        <v>50</v>
      </c>
      <c r="B116" s="6" t="s">
        <v>47</v>
      </c>
      <c r="C116" s="6">
        <v>0.786226685796269</v>
      </c>
      <c r="D116" s="6">
        <v>0.791892717117341</v>
      </c>
      <c r="E116" s="6">
        <v>0.848854961832061</v>
      </c>
      <c r="F116" s="6">
        <v>0.567324955116696</v>
      </c>
      <c r="G116" s="6">
        <v>0.785542168674698</v>
      </c>
      <c r="H116" s="6">
        <v>9603</v>
      </c>
      <c r="I116" s="6" t="s">
        <v>25</v>
      </c>
      <c r="J116" s="6">
        <v>1</v>
      </c>
      <c r="K116" s="6" t="s">
        <v>34</v>
      </c>
    </row>
    <row r="117" spans="1:11">
      <c r="A117" s="6" t="s">
        <v>50</v>
      </c>
      <c r="B117" s="6" t="s">
        <v>47</v>
      </c>
      <c r="C117" s="6">
        <v>0.78909612625538</v>
      </c>
      <c r="D117" s="6">
        <v>0.794371673456747</v>
      </c>
      <c r="E117" s="6">
        <v>0.845720143516145</v>
      </c>
      <c r="F117" s="6">
        <v>0.596428571428571</v>
      </c>
      <c r="G117" s="6">
        <v>0.787552363853979</v>
      </c>
      <c r="H117" s="6">
        <v>9660</v>
      </c>
      <c r="I117" s="6" t="s">
        <v>25</v>
      </c>
      <c r="J117" s="6">
        <v>2</v>
      </c>
      <c r="K117" s="6" t="s">
        <v>34</v>
      </c>
    </row>
    <row r="118" ht="17.55" spans="1:11">
      <c r="A118" s="6" t="s">
        <v>50</v>
      </c>
      <c r="B118" s="6" t="s">
        <v>47</v>
      </c>
      <c r="C118" s="6">
        <v>0.778574844571975</v>
      </c>
      <c r="D118" s="6">
        <v>0.785578445277792</v>
      </c>
      <c r="E118" s="6">
        <v>0.839303991811668</v>
      </c>
      <c r="F118" s="6">
        <v>0.557491289198606</v>
      </c>
      <c r="G118" s="6">
        <v>0.783555018137847</v>
      </c>
      <c r="H118" s="6">
        <v>9659</v>
      </c>
      <c r="I118" s="6" t="s">
        <v>25</v>
      </c>
      <c r="J118" s="6">
        <v>3</v>
      </c>
      <c r="K118" s="6" t="s">
        <v>34</v>
      </c>
    </row>
    <row r="119" ht="17.55" spans="1:8">
      <c r="A119" s="3" t="s">
        <v>19</v>
      </c>
      <c r="B119" s="4"/>
      <c r="C119" s="5">
        <f t="shared" ref="C119:H119" si="18">AVERAGE(C116:C118)</f>
        <v>0.784632552207875</v>
      </c>
      <c r="D119" s="5">
        <f t="shared" si="18"/>
        <v>0.790614278617293</v>
      </c>
      <c r="E119" s="5">
        <f t="shared" si="18"/>
        <v>0.844626365719958</v>
      </c>
      <c r="F119" s="5">
        <f t="shared" si="18"/>
        <v>0.573748271914624</v>
      </c>
      <c r="G119" s="5">
        <f t="shared" si="18"/>
        <v>0.785549850222175</v>
      </c>
      <c r="H119" s="9">
        <f t="shared" si="18"/>
        <v>9640.66666666667</v>
      </c>
    </row>
    <row r="120" ht="23.2" spans="1:1">
      <c r="A120" s="14"/>
    </row>
    <row r="121" spans="1:11">
      <c r="A121" s="6" t="s">
        <v>51</v>
      </c>
      <c r="B121" s="6" t="s">
        <v>47</v>
      </c>
      <c r="C121" s="6">
        <v>0.797704447632711</v>
      </c>
      <c r="D121" s="6">
        <v>0.801219881594023</v>
      </c>
      <c r="E121" s="6">
        <v>0.865024630541872</v>
      </c>
      <c r="F121" s="6">
        <v>0.603174603174603</v>
      </c>
      <c r="G121" s="6">
        <v>0.781072555205047</v>
      </c>
      <c r="H121" s="6">
        <v>6952</v>
      </c>
      <c r="I121" s="6" t="s">
        <v>25</v>
      </c>
      <c r="J121" s="6">
        <v>1</v>
      </c>
      <c r="K121" s="6" t="s">
        <v>34</v>
      </c>
    </row>
    <row r="122" spans="1:11">
      <c r="A122" s="6" t="s">
        <v>51</v>
      </c>
      <c r="B122" s="6" t="s">
        <v>47</v>
      </c>
      <c r="C122" s="6">
        <v>0.801530368244858</v>
      </c>
      <c r="D122" s="6">
        <v>0.804840632147514</v>
      </c>
      <c r="E122" s="6">
        <v>0.871694417238002</v>
      </c>
      <c r="F122" s="6">
        <v>0.604895104895104</v>
      </c>
      <c r="G122" s="6">
        <v>0.78188775510204</v>
      </c>
      <c r="H122" s="6">
        <v>6975</v>
      </c>
      <c r="I122" s="6" t="s">
        <v>25</v>
      </c>
      <c r="J122" s="6">
        <v>2</v>
      </c>
      <c r="K122" s="6" t="s">
        <v>34</v>
      </c>
    </row>
    <row r="123" ht="17.55" spans="1:11">
      <c r="A123" s="6" t="s">
        <v>51</v>
      </c>
      <c r="B123" s="6" t="s">
        <v>47</v>
      </c>
      <c r="C123" s="6">
        <v>0.800573888091822</v>
      </c>
      <c r="D123" s="6">
        <v>0.803989810338497</v>
      </c>
      <c r="E123" s="6">
        <v>0.866797257590597</v>
      </c>
      <c r="F123" s="6">
        <v>0.605633802816901</v>
      </c>
      <c r="G123" s="6">
        <v>0.784987277353689</v>
      </c>
      <c r="H123" s="6">
        <v>6851</v>
      </c>
      <c r="I123" s="6" t="s">
        <v>25</v>
      </c>
      <c r="J123" s="6">
        <v>3</v>
      </c>
      <c r="K123" s="6" t="s">
        <v>34</v>
      </c>
    </row>
    <row r="124" ht="17.55" spans="1:8">
      <c r="A124" s="3" t="s">
        <v>19</v>
      </c>
      <c r="B124" s="4"/>
      <c r="C124" s="5">
        <f t="shared" ref="C124:H124" si="19">AVERAGE(C121:C123)</f>
        <v>0.799936234656464</v>
      </c>
      <c r="D124" s="5">
        <f t="shared" si="19"/>
        <v>0.803350108026678</v>
      </c>
      <c r="E124" s="5">
        <f t="shared" si="19"/>
        <v>0.867838768456824</v>
      </c>
      <c r="F124" s="5">
        <f t="shared" si="19"/>
        <v>0.604567836962203</v>
      </c>
      <c r="G124" s="5">
        <f t="shared" si="19"/>
        <v>0.782649195886925</v>
      </c>
      <c r="H124" s="9">
        <f t="shared" si="19"/>
        <v>6926</v>
      </c>
    </row>
    <row r="125" ht="23.2" spans="1:1">
      <c r="A125" s="14"/>
    </row>
    <row r="126" spans="1:11">
      <c r="A126" s="6" t="s">
        <v>50</v>
      </c>
      <c r="B126" s="6" t="s">
        <v>47</v>
      </c>
      <c r="C126" s="6">
        <v>0.775227164036346</v>
      </c>
      <c r="D126" s="6">
        <v>0.776195186825309</v>
      </c>
      <c r="E126" s="6">
        <v>0.843689320388349</v>
      </c>
      <c r="F126" s="6">
        <v>0.589981447124304</v>
      </c>
      <c r="G126" s="6">
        <v>0.749210360075805</v>
      </c>
      <c r="H126" s="6">
        <v>23480</v>
      </c>
      <c r="I126" s="6" t="s">
        <v>25</v>
      </c>
      <c r="J126" s="6">
        <v>1</v>
      </c>
      <c r="K126" s="6" t="s">
        <v>52</v>
      </c>
    </row>
    <row r="127" spans="1:11">
      <c r="A127" s="6" t="s">
        <v>50</v>
      </c>
      <c r="B127" s="6" t="s">
        <v>47</v>
      </c>
      <c r="C127" s="6">
        <v>0.783357245337159</v>
      </c>
      <c r="D127" s="6">
        <v>0.783948682378501</v>
      </c>
      <c r="E127" s="6">
        <v>0.848572810836961</v>
      </c>
      <c r="F127" s="6">
        <v>0.609665427509293</v>
      </c>
      <c r="G127" s="6">
        <v>0.757133798351299</v>
      </c>
      <c r="H127" s="6">
        <v>22963</v>
      </c>
      <c r="I127" s="6" t="s">
        <v>25</v>
      </c>
      <c r="J127" s="6">
        <v>2</v>
      </c>
      <c r="K127" s="6" t="s">
        <v>52</v>
      </c>
    </row>
    <row r="128" ht="17.55" spans="1:11">
      <c r="A128" s="6" t="s">
        <v>50</v>
      </c>
      <c r="B128" s="6" t="s">
        <v>47</v>
      </c>
      <c r="C128" s="6">
        <v>0.766618842659014</v>
      </c>
      <c r="D128" s="6">
        <v>0.76824689622724</v>
      </c>
      <c r="E128" s="6">
        <v>0.836169178415167</v>
      </c>
      <c r="F128" s="6">
        <v>0.584229390681003</v>
      </c>
      <c r="G128" s="6">
        <v>0.740268028079132</v>
      </c>
      <c r="H128" s="6">
        <v>11333</v>
      </c>
      <c r="I128" s="6" t="s">
        <v>25</v>
      </c>
      <c r="J128" s="6">
        <v>3</v>
      </c>
      <c r="K128" s="6" t="s">
        <v>52</v>
      </c>
    </row>
    <row r="129" ht="17.55" spans="1:8">
      <c r="A129" s="3" t="s">
        <v>19</v>
      </c>
      <c r="B129" s="4"/>
      <c r="C129" s="5">
        <f t="shared" ref="C129:H129" si="20">AVERAGE(C126:C128)</f>
        <v>0.775067750677506</v>
      </c>
      <c r="D129" s="5">
        <f t="shared" si="20"/>
        <v>0.776130255143683</v>
      </c>
      <c r="E129" s="5">
        <f t="shared" si="20"/>
        <v>0.842810436546826</v>
      </c>
      <c r="F129" s="5">
        <f t="shared" si="20"/>
        <v>0.594625421771533</v>
      </c>
      <c r="G129" s="5">
        <f t="shared" si="20"/>
        <v>0.748870728835412</v>
      </c>
      <c r="H129" s="9">
        <f t="shared" si="20"/>
        <v>19258.6666666667</v>
      </c>
    </row>
    <row r="130" ht="23.2" spans="1:1">
      <c r="A130" s="14"/>
    </row>
    <row r="131" spans="1:11">
      <c r="A131" s="6" t="s">
        <v>51</v>
      </c>
      <c r="B131" s="6" t="s">
        <v>47</v>
      </c>
      <c r="C131" s="6">
        <v>0.81922525107604</v>
      </c>
      <c r="D131" s="6">
        <v>0.824287620787407</v>
      </c>
      <c r="E131" s="6">
        <v>0.881905727318803</v>
      </c>
      <c r="F131" s="6">
        <v>0.639175257731958</v>
      </c>
      <c r="G131" s="6">
        <v>0.807621389059618</v>
      </c>
      <c r="H131" s="6">
        <v>8392</v>
      </c>
      <c r="I131" s="6" t="s">
        <v>25</v>
      </c>
      <c r="J131" s="6">
        <v>1</v>
      </c>
      <c r="K131" s="6" t="s">
        <v>52</v>
      </c>
    </row>
    <row r="132" spans="1:11">
      <c r="A132" s="6" t="s">
        <v>51</v>
      </c>
      <c r="B132" s="6" t="s">
        <v>47</v>
      </c>
      <c r="C132" s="6">
        <v>0.814921090387374</v>
      </c>
      <c r="D132" s="6">
        <v>0.819674563272287</v>
      </c>
      <c r="E132" s="6">
        <v>0.879154078549849</v>
      </c>
      <c r="F132" s="6">
        <v>0.634648370497427</v>
      </c>
      <c r="G132" s="6">
        <v>0.800991940483571</v>
      </c>
      <c r="H132" s="6">
        <v>28332</v>
      </c>
      <c r="I132" s="6" t="s">
        <v>25</v>
      </c>
      <c r="J132" s="6">
        <v>2</v>
      </c>
      <c r="K132" s="6" t="s">
        <v>52</v>
      </c>
    </row>
    <row r="133" ht="17.55" spans="1:11">
      <c r="A133" s="6" t="s">
        <v>51</v>
      </c>
      <c r="B133" s="6" t="s">
        <v>47</v>
      </c>
      <c r="C133" s="6">
        <v>0.819703491152558</v>
      </c>
      <c r="D133" s="6">
        <v>0.824564622315515</v>
      </c>
      <c r="E133" s="6">
        <v>0.88169868554095</v>
      </c>
      <c r="F133" s="6">
        <v>0.627865961199294</v>
      </c>
      <c r="G133" s="6">
        <v>0.811240073304826</v>
      </c>
      <c r="H133" s="6">
        <v>12335</v>
      </c>
      <c r="I133" s="6" t="s">
        <v>25</v>
      </c>
      <c r="J133" s="6">
        <v>3</v>
      </c>
      <c r="K133" s="6" t="s">
        <v>52</v>
      </c>
    </row>
    <row r="134" ht="17.55" spans="1:8">
      <c r="A134" s="3" t="s">
        <v>19</v>
      </c>
      <c r="B134" s="4"/>
      <c r="C134" s="5">
        <f t="shared" ref="C134:H134" si="21">AVERAGE(C131:C133)</f>
        <v>0.817949944205324</v>
      </c>
      <c r="D134" s="5">
        <f t="shared" si="21"/>
        <v>0.822842268791736</v>
      </c>
      <c r="E134" s="5">
        <f t="shared" si="21"/>
        <v>0.880919497136534</v>
      </c>
      <c r="F134" s="5">
        <f t="shared" si="21"/>
        <v>0.63389652980956</v>
      </c>
      <c r="G134" s="5">
        <f t="shared" si="21"/>
        <v>0.806617800949338</v>
      </c>
      <c r="H134" s="9">
        <f t="shared" si="21"/>
        <v>16353</v>
      </c>
    </row>
    <row r="135" ht="23.2" spans="1:1">
      <c r="A135" s="14"/>
    </row>
    <row r="136" ht="23.2" spans="1:1">
      <c r="A136" s="14"/>
    </row>
    <row r="137" ht="23.2" spans="1:1">
      <c r="A137" s="14"/>
    </row>
    <row r="138" ht="23.2" spans="1:1">
      <c r="A138" s="14"/>
    </row>
    <row r="139" ht="23.2" spans="1:1">
      <c r="A139" s="14"/>
    </row>
    <row r="140" ht="23.2" spans="1:1">
      <c r="A140" s="14"/>
    </row>
    <row r="141" ht="23.2" spans="1:1">
      <c r="A141" s="14"/>
    </row>
    <row r="142" ht="23.2" spans="1:1">
      <c r="A142" s="14"/>
    </row>
    <row r="143" ht="23.2" spans="1:1">
      <c r="A143" s="14"/>
    </row>
    <row r="144" ht="23.2" spans="1:1">
      <c r="A144" s="14"/>
    </row>
    <row r="145" ht="23.2" spans="1:1">
      <c r="A145" s="14" t="s">
        <v>53</v>
      </c>
    </row>
    <row r="147" spans="1:11">
      <c r="A147" s="2" t="s">
        <v>23</v>
      </c>
      <c r="B147" s="6" t="s">
        <v>24</v>
      </c>
      <c r="C147" s="6">
        <v>0.73279758915118</v>
      </c>
      <c r="D147" s="6">
        <v>0.742672743809349</v>
      </c>
      <c r="E147" s="6">
        <v>0.757462686567164</v>
      </c>
      <c r="F147" s="6">
        <v>0.593607305936073</v>
      </c>
      <c r="G147" s="6">
        <v>0.762958648806057</v>
      </c>
      <c r="H147" s="6">
        <v>1668</v>
      </c>
      <c r="I147" s="6" t="s">
        <v>25</v>
      </c>
      <c r="J147" s="6">
        <v>1</v>
      </c>
      <c r="K147" s="6" t="s">
        <v>16</v>
      </c>
    </row>
    <row r="148" spans="1:11">
      <c r="A148" s="2" t="s">
        <v>23</v>
      </c>
      <c r="B148" s="6" t="s">
        <v>24</v>
      </c>
      <c r="C148" s="6">
        <v>0.724761426418885</v>
      </c>
      <c r="D148" s="6">
        <v>0.736700503698959</v>
      </c>
      <c r="E148" s="6">
        <v>0.759776536312849</v>
      </c>
      <c r="F148" s="6">
        <v>0.576023391812865</v>
      </c>
      <c r="G148" s="6">
        <v>0.751630112625963</v>
      </c>
      <c r="H148" s="6">
        <v>1578</v>
      </c>
      <c r="I148" s="6" t="s">
        <v>25</v>
      </c>
      <c r="J148" s="6">
        <v>2</v>
      </c>
      <c r="K148" s="6" t="s">
        <v>16</v>
      </c>
    </row>
    <row r="149" spans="1:11">
      <c r="A149" s="2" t="s">
        <v>23</v>
      </c>
      <c r="B149" s="6" t="s">
        <v>24</v>
      </c>
      <c r="C149" s="6">
        <v>0.730286288297338</v>
      </c>
      <c r="D149" s="6">
        <v>0.741955331349412</v>
      </c>
      <c r="E149" s="6">
        <v>0.762912258867454</v>
      </c>
      <c r="F149" s="6">
        <v>0.579881656804733</v>
      </c>
      <c r="G149" s="6">
        <v>0.75927015891701</v>
      </c>
      <c r="H149" s="6">
        <v>1676</v>
      </c>
      <c r="I149" s="6" t="s">
        <v>25</v>
      </c>
      <c r="J149" s="6">
        <v>3</v>
      </c>
      <c r="K149" s="6" t="s">
        <v>16</v>
      </c>
    </row>
    <row r="150" ht="17.55" spans="1:11">
      <c r="A150" s="3" t="s">
        <v>19</v>
      </c>
      <c r="B150" s="4"/>
      <c r="C150" s="5">
        <f t="shared" ref="C150:H150" si="22">AVERAGE(C147:C149)</f>
        <v>0.729281767955801</v>
      </c>
      <c r="D150" s="5">
        <f t="shared" si="22"/>
        <v>0.74044285961924</v>
      </c>
      <c r="E150" s="5">
        <f t="shared" si="22"/>
        <v>0.760050493915822</v>
      </c>
      <c r="F150" s="5">
        <f t="shared" si="22"/>
        <v>0.583170784851224</v>
      </c>
      <c r="G150" s="5">
        <f t="shared" si="22"/>
        <v>0.757952973449677</v>
      </c>
      <c r="H150" s="9">
        <f t="shared" si="22"/>
        <v>1640.66666666667</v>
      </c>
      <c r="I150" s="6"/>
      <c r="J150" s="6"/>
      <c r="K150" s="6"/>
    </row>
    <row r="152" spans="1:11">
      <c r="A152" s="6" t="s">
        <v>23</v>
      </c>
      <c r="B152" s="6" t="s">
        <v>24</v>
      </c>
      <c r="C152" s="6">
        <v>0.710195881466599</v>
      </c>
      <c r="D152" s="6">
        <v>0.705879541188687</v>
      </c>
      <c r="E152" s="6">
        <v>0.668508287292817</v>
      </c>
      <c r="F152" s="6">
        <v>0.636363636363636</v>
      </c>
      <c r="G152" s="6">
        <v>0.758382642998027</v>
      </c>
      <c r="H152" s="6">
        <v>2180</v>
      </c>
      <c r="I152" s="6" t="s">
        <v>25</v>
      </c>
      <c r="J152" s="6">
        <v>1</v>
      </c>
      <c r="K152" s="6" t="s">
        <v>27</v>
      </c>
    </row>
    <row r="153" spans="1:11">
      <c r="A153" s="6" t="s">
        <v>23</v>
      </c>
      <c r="B153" s="6" t="s">
        <v>24</v>
      </c>
      <c r="C153" s="6">
        <v>0.704671019588146</v>
      </c>
      <c r="D153" s="6">
        <v>0.700830384093511</v>
      </c>
      <c r="E153" s="6">
        <v>0.665289256198347</v>
      </c>
      <c r="F153" s="6">
        <v>0.622047244094488</v>
      </c>
      <c r="G153" s="6">
        <v>0.753709198813056</v>
      </c>
      <c r="H153" s="6">
        <v>2158</v>
      </c>
      <c r="I153" s="6" t="s">
        <v>25</v>
      </c>
      <c r="J153" s="6">
        <v>2</v>
      </c>
      <c r="K153" s="6" t="s">
        <v>27</v>
      </c>
    </row>
    <row r="154" spans="1:11">
      <c r="A154" s="6" t="s">
        <v>23</v>
      </c>
      <c r="B154" s="6" t="s">
        <v>24</v>
      </c>
      <c r="C154" s="6">
        <v>0.701155198392767</v>
      </c>
      <c r="D154" s="6">
        <v>0.696845777704972</v>
      </c>
      <c r="E154" s="6">
        <v>0.661111111111111</v>
      </c>
      <c r="F154" s="6">
        <v>0.604</v>
      </c>
      <c r="G154" s="6">
        <v>0.753183153770812</v>
      </c>
      <c r="H154" s="6">
        <v>2151</v>
      </c>
      <c r="I154" s="6" t="s">
        <v>25</v>
      </c>
      <c r="J154" s="6">
        <v>3</v>
      </c>
      <c r="K154" s="6" t="s">
        <v>27</v>
      </c>
    </row>
    <row r="155" spans="1:11">
      <c r="A155" s="3" t="s">
        <v>19</v>
      </c>
      <c r="B155" s="4"/>
      <c r="C155" s="5">
        <f t="shared" ref="C155:H155" si="23">AVERAGE(C152:C154)</f>
        <v>0.705340699815837</v>
      </c>
      <c r="D155" s="5">
        <f t="shared" si="23"/>
        <v>0.701185234329057</v>
      </c>
      <c r="E155" s="5">
        <f t="shared" si="23"/>
        <v>0.664969551534092</v>
      </c>
      <c r="F155" s="5">
        <f t="shared" si="23"/>
        <v>0.620803626819375</v>
      </c>
      <c r="G155" s="5">
        <f t="shared" si="23"/>
        <v>0.755091665193965</v>
      </c>
      <c r="H155" s="9">
        <f t="shared" si="23"/>
        <v>2163</v>
      </c>
      <c r="I155" s="6"/>
      <c r="J155" s="6"/>
      <c r="K155" s="6"/>
    </row>
    <row r="157" spans="1:11">
      <c r="A157" s="6" t="s">
        <v>23</v>
      </c>
      <c r="B157" s="6" t="s">
        <v>24</v>
      </c>
      <c r="C157" s="6">
        <v>0.735308890005022</v>
      </c>
      <c r="D157" s="6">
        <v>0.736255617299564</v>
      </c>
      <c r="E157" s="6">
        <v>0.730523627075351</v>
      </c>
      <c r="F157" s="6">
        <v>0.633266533066132</v>
      </c>
      <c r="G157" s="6">
        <v>0.765779864371413</v>
      </c>
      <c r="H157" s="6">
        <v>3998</v>
      </c>
      <c r="I157" s="6" t="s">
        <v>25</v>
      </c>
      <c r="J157" s="6">
        <v>1</v>
      </c>
      <c r="K157" s="6" t="s">
        <v>33</v>
      </c>
    </row>
    <row r="158" spans="1:11">
      <c r="A158" s="6" t="s">
        <v>23</v>
      </c>
      <c r="B158" s="6" t="s">
        <v>24</v>
      </c>
      <c r="C158" s="6">
        <v>0.728277247614264</v>
      </c>
      <c r="D158" s="6">
        <v>0.728950446865728</v>
      </c>
      <c r="E158" s="6">
        <v>0.719480519480519</v>
      </c>
      <c r="F158" s="6">
        <v>0.634050880626223</v>
      </c>
      <c r="G158" s="6">
        <v>0.760227861211807</v>
      </c>
      <c r="H158" s="6">
        <v>3807</v>
      </c>
      <c r="I158" s="6" t="s">
        <v>25</v>
      </c>
      <c r="J158" s="6">
        <v>2</v>
      </c>
      <c r="K158" s="6" t="s">
        <v>33</v>
      </c>
    </row>
    <row r="159" ht="17.55" spans="1:11">
      <c r="A159" s="6" t="s">
        <v>23</v>
      </c>
      <c r="B159" s="6" t="s">
        <v>24</v>
      </c>
      <c r="C159" s="6">
        <v>0.734304369663485</v>
      </c>
      <c r="D159" s="6">
        <v>0.734724258331028</v>
      </c>
      <c r="E159" s="6">
        <v>0.722151088348271</v>
      </c>
      <c r="F159" s="6">
        <v>0.65625</v>
      </c>
      <c r="G159" s="6">
        <v>0.765199161425576</v>
      </c>
      <c r="H159" s="6">
        <v>1941</v>
      </c>
      <c r="I159" s="6" t="s">
        <v>25</v>
      </c>
      <c r="J159" s="6">
        <v>3</v>
      </c>
      <c r="K159" s="6" t="s">
        <v>33</v>
      </c>
    </row>
    <row r="160" ht="17.55" spans="1:11">
      <c r="A160" s="3" t="s">
        <v>19</v>
      </c>
      <c r="B160" s="4"/>
      <c r="C160" s="5">
        <f t="shared" ref="C160:H160" si="24">AVERAGE(C157:C159)</f>
        <v>0.732630169094257</v>
      </c>
      <c r="D160" s="5">
        <f t="shared" si="24"/>
        <v>0.733310107498773</v>
      </c>
      <c r="E160" s="5">
        <f t="shared" si="24"/>
        <v>0.724051744968047</v>
      </c>
      <c r="F160" s="5">
        <f t="shared" si="24"/>
        <v>0.641189137897452</v>
      </c>
      <c r="G160" s="5">
        <f t="shared" si="24"/>
        <v>0.763735629002932</v>
      </c>
      <c r="H160" s="9">
        <f t="shared" si="24"/>
        <v>3248.66666666667</v>
      </c>
      <c r="I160" s="6"/>
      <c r="J160" s="6"/>
      <c r="K160" s="6"/>
    </row>
    <row r="162" spans="1:11">
      <c r="A162" s="6" t="s">
        <v>23</v>
      </c>
      <c r="B162" s="6" t="s">
        <v>24</v>
      </c>
      <c r="C162" s="6">
        <v>0.723254645906579</v>
      </c>
      <c r="D162" s="6">
        <v>0.725466776714611</v>
      </c>
      <c r="E162" s="6">
        <v>0.718346253229974</v>
      </c>
      <c r="F162" s="6">
        <v>0.617375231053604</v>
      </c>
      <c r="G162" s="6">
        <v>0.757527733755943</v>
      </c>
      <c r="H162" s="6">
        <v>1925</v>
      </c>
      <c r="I162" s="6" t="s">
        <v>25</v>
      </c>
      <c r="J162" s="6">
        <v>1</v>
      </c>
      <c r="K162" s="6" t="s">
        <v>34</v>
      </c>
    </row>
    <row r="163" spans="1:11">
      <c r="A163" s="6" t="s">
        <v>23</v>
      </c>
      <c r="B163" s="6" t="s">
        <v>24</v>
      </c>
      <c r="C163" s="6">
        <v>0.73279758915118</v>
      </c>
      <c r="D163" s="6">
        <v>0.733668351609691</v>
      </c>
      <c r="E163" s="6">
        <v>0.732142857142857</v>
      </c>
      <c r="F163" s="6">
        <v>0.632443531827515</v>
      </c>
      <c r="G163" s="6">
        <v>0.758692267773741</v>
      </c>
      <c r="H163" s="6">
        <v>2143</v>
      </c>
      <c r="I163" s="6" t="s">
        <v>25</v>
      </c>
      <c r="J163" s="6">
        <v>2</v>
      </c>
      <c r="K163" s="6" t="s">
        <v>34</v>
      </c>
    </row>
    <row r="164" spans="1:11">
      <c r="A164" s="6" t="s">
        <v>23</v>
      </c>
      <c r="B164" s="6" t="s">
        <v>24</v>
      </c>
      <c r="C164" s="6">
        <v>0.737820190858864</v>
      </c>
      <c r="D164" s="6">
        <v>0.738158503351333</v>
      </c>
      <c r="E164" s="6">
        <v>0.726807421625079</v>
      </c>
      <c r="F164" s="6">
        <v>0.653386454183266</v>
      </c>
      <c r="G164" s="6">
        <v>0.768909754825247</v>
      </c>
      <c r="H164" s="6">
        <v>2021</v>
      </c>
      <c r="I164" s="6" t="s">
        <v>25</v>
      </c>
      <c r="J164" s="6">
        <v>3</v>
      </c>
      <c r="K164" s="6" t="s">
        <v>34</v>
      </c>
    </row>
    <row r="165" spans="1:8">
      <c r="A165" s="3" t="s">
        <v>19</v>
      </c>
      <c r="B165" s="4"/>
      <c r="C165" s="5">
        <f t="shared" ref="C165:H165" si="25">AVERAGE(C162:C164)</f>
        <v>0.731290808638874</v>
      </c>
      <c r="D165" s="5">
        <f t="shared" si="25"/>
        <v>0.732431210558545</v>
      </c>
      <c r="E165" s="5">
        <f t="shared" si="25"/>
        <v>0.72576551066597</v>
      </c>
      <c r="F165" s="5">
        <f t="shared" si="25"/>
        <v>0.634401739021462</v>
      </c>
      <c r="G165" s="5">
        <f t="shared" si="25"/>
        <v>0.761709918784977</v>
      </c>
      <c r="H165" s="9">
        <f t="shared" si="25"/>
        <v>2029.66666666667</v>
      </c>
    </row>
    <row r="167" ht="32" spans="1:11">
      <c r="A167" s="6" t="s">
        <v>23</v>
      </c>
      <c r="B167" s="6" t="s">
        <v>24</v>
      </c>
      <c r="C167" s="6">
        <v>0.783525866398794</v>
      </c>
      <c r="D167" s="6">
        <v>0.7841863563482</v>
      </c>
      <c r="E167" s="6">
        <v>0.790834312573443</v>
      </c>
      <c r="F167" s="6">
        <v>0.733905579399141</v>
      </c>
      <c r="G167" s="6">
        <v>0.78941565600882</v>
      </c>
      <c r="H167" s="6">
        <v>2823</v>
      </c>
      <c r="I167" s="6" t="s">
        <v>25</v>
      </c>
      <c r="J167" s="6">
        <v>1</v>
      </c>
      <c r="K167" s="6" t="s">
        <v>54</v>
      </c>
    </row>
    <row r="168" ht="32" spans="1:11">
      <c r="A168" s="6" t="s">
        <v>23</v>
      </c>
      <c r="B168" s="6" t="s">
        <v>24</v>
      </c>
      <c r="C168" s="6">
        <v>0.783525866398794</v>
      </c>
      <c r="D168" s="6">
        <v>0.784071017530041</v>
      </c>
      <c r="E168" s="6">
        <v>0.791079812206572</v>
      </c>
      <c r="F168" s="6">
        <v>0.74025974025974</v>
      </c>
      <c r="G168" s="6">
        <v>0.787444933920704</v>
      </c>
      <c r="H168" s="6">
        <v>4510</v>
      </c>
      <c r="I168" s="6" t="s">
        <v>25</v>
      </c>
      <c r="J168" s="6">
        <v>2</v>
      </c>
      <c r="K168" s="6" t="s">
        <v>54</v>
      </c>
    </row>
    <row r="169" ht="32.75" spans="1:11">
      <c r="A169" s="6" t="s">
        <v>23</v>
      </c>
      <c r="B169" s="6" t="s">
        <v>24</v>
      </c>
      <c r="C169" s="6">
        <v>0.775991963837267</v>
      </c>
      <c r="D169" s="6">
        <v>0.776572693120688</v>
      </c>
      <c r="E169" s="6">
        <v>0.78235294117647</v>
      </c>
      <c r="F169" s="6">
        <v>0.727272727272727</v>
      </c>
      <c r="G169" s="6">
        <v>0.782417582417582</v>
      </c>
      <c r="H169" s="6">
        <v>1742</v>
      </c>
      <c r="I169" s="6" t="s">
        <v>25</v>
      </c>
      <c r="J169" s="6">
        <v>3</v>
      </c>
      <c r="K169" s="6" t="s">
        <v>54</v>
      </c>
    </row>
    <row r="170" ht="17.55" spans="1:8">
      <c r="A170" s="3" t="s">
        <v>19</v>
      </c>
      <c r="B170" s="4"/>
      <c r="C170" s="5">
        <f t="shared" ref="C170:H170" si="26">AVERAGE(C167:C169)</f>
        <v>0.781014565544952</v>
      </c>
      <c r="D170" s="5">
        <f t="shared" si="26"/>
        <v>0.781610022332976</v>
      </c>
      <c r="E170" s="5">
        <f t="shared" si="26"/>
        <v>0.788089021985495</v>
      </c>
      <c r="F170" s="5">
        <f t="shared" si="26"/>
        <v>0.733812682310536</v>
      </c>
      <c r="G170" s="5">
        <f t="shared" si="26"/>
        <v>0.786426057449035</v>
      </c>
      <c r="H170" s="9">
        <f t="shared" si="26"/>
        <v>3025</v>
      </c>
    </row>
    <row r="172" spans="1:11">
      <c r="A172" s="6" t="s">
        <v>50</v>
      </c>
      <c r="B172" s="6" t="s">
        <v>47</v>
      </c>
      <c r="C172" s="6">
        <v>0.817679558011049</v>
      </c>
      <c r="D172" s="6">
        <v>0.819395501746137</v>
      </c>
      <c r="E172" s="6">
        <v>0.839826839826839</v>
      </c>
      <c r="F172" s="6">
        <v>0.717434869739479</v>
      </c>
      <c r="G172" s="6">
        <v>0.823241590214067</v>
      </c>
      <c r="H172" s="6">
        <v>9139</v>
      </c>
      <c r="I172" s="6" t="s">
        <v>25</v>
      </c>
      <c r="J172" s="6">
        <v>1</v>
      </c>
      <c r="K172" s="6" t="s">
        <v>16</v>
      </c>
    </row>
    <row r="173" spans="1:11">
      <c r="A173" s="6" t="s">
        <v>50</v>
      </c>
      <c r="B173" s="6" t="s">
        <v>47</v>
      </c>
      <c r="C173" s="6">
        <v>0.821697639377197</v>
      </c>
      <c r="D173" s="6">
        <v>0.82309461889862</v>
      </c>
      <c r="E173" s="6">
        <v>0.845695722793719</v>
      </c>
      <c r="F173" s="6">
        <v>0.722109533468559</v>
      </c>
      <c r="G173" s="6">
        <v>0.824604141291108</v>
      </c>
      <c r="H173" s="6">
        <v>9191</v>
      </c>
      <c r="I173" s="6" t="s">
        <v>25</v>
      </c>
      <c r="J173" s="6">
        <v>2</v>
      </c>
      <c r="K173" s="6" t="s">
        <v>16</v>
      </c>
    </row>
    <row r="174" ht="17.55" spans="1:11">
      <c r="A174" s="6" t="s">
        <v>50</v>
      </c>
      <c r="B174" s="6" t="s">
        <v>47</v>
      </c>
      <c r="C174" s="6">
        <v>0.817679558011049</v>
      </c>
      <c r="D174" s="6">
        <v>0.819667805689196</v>
      </c>
      <c r="E174" s="6">
        <v>0.845819761129207</v>
      </c>
      <c r="F174" s="6">
        <v>0.702380952380952</v>
      </c>
      <c r="G174" s="6">
        <v>0.821515892420537</v>
      </c>
      <c r="H174" s="6">
        <v>11055</v>
      </c>
      <c r="I174" s="6" t="s">
        <v>25</v>
      </c>
      <c r="J174" s="6">
        <v>3</v>
      </c>
      <c r="K174" s="6" t="s">
        <v>16</v>
      </c>
    </row>
    <row r="175" ht="17.55" spans="1:8">
      <c r="A175" s="3" t="s">
        <v>19</v>
      </c>
      <c r="B175" s="4"/>
      <c r="C175" s="5">
        <f t="shared" ref="C175:H175" si="27">AVERAGE(C172:C174)</f>
        <v>0.819018918466432</v>
      </c>
      <c r="D175" s="5">
        <f t="shared" si="27"/>
        <v>0.820719308777984</v>
      </c>
      <c r="E175" s="5">
        <f t="shared" si="27"/>
        <v>0.843780774583255</v>
      </c>
      <c r="F175" s="5">
        <f t="shared" si="27"/>
        <v>0.713975118529663</v>
      </c>
      <c r="G175" s="5">
        <f t="shared" si="27"/>
        <v>0.823120541308571</v>
      </c>
      <c r="H175" s="9">
        <f t="shared" si="27"/>
        <v>9795</v>
      </c>
    </row>
    <row r="176" spans="3:7">
      <c r="C176" s="6"/>
      <c r="D176" s="6"/>
      <c r="E176" s="6"/>
      <c r="F176" s="6"/>
      <c r="G176" s="6"/>
    </row>
    <row r="177" spans="1:11">
      <c r="A177" s="6" t="s">
        <v>51</v>
      </c>
      <c r="B177" s="6" t="s">
        <v>47</v>
      </c>
      <c r="C177" s="6">
        <v>0.823706680060271</v>
      </c>
      <c r="D177" s="6">
        <v>0.825345452556309</v>
      </c>
      <c r="E177" s="6">
        <v>0.845039018952062</v>
      </c>
      <c r="F177" s="6">
        <v>0.730223123732251</v>
      </c>
      <c r="G177" s="6">
        <v>0.828318584070796</v>
      </c>
      <c r="H177" s="6">
        <v>5354</v>
      </c>
      <c r="I177" s="6" t="s">
        <v>25</v>
      </c>
      <c r="J177" s="6">
        <v>1</v>
      </c>
      <c r="K177" s="6" t="s">
        <v>16</v>
      </c>
    </row>
    <row r="178" spans="1:11">
      <c r="A178" s="6" t="s">
        <v>51</v>
      </c>
      <c r="B178" s="6" t="s">
        <v>47</v>
      </c>
      <c r="C178" s="6">
        <v>0.821697639377197</v>
      </c>
      <c r="D178" s="6">
        <v>0.823336136426883</v>
      </c>
      <c r="E178" s="6">
        <v>0.841987716359575</v>
      </c>
      <c r="F178" s="6">
        <v>0.730223123732251</v>
      </c>
      <c r="G178" s="6">
        <v>0.826855123674911</v>
      </c>
      <c r="H178" s="6">
        <v>5266</v>
      </c>
      <c r="I178" s="6" t="s">
        <v>25</v>
      </c>
      <c r="J178" s="6">
        <v>2</v>
      </c>
      <c r="K178" s="6" t="s">
        <v>16</v>
      </c>
    </row>
    <row r="179" ht="17.55" spans="1:11">
      <c r="A179" s="6" t="s">
        <v>51</v>
      </c>
      <c r="B179" s="6" t="s">
        <v>47</v>
      </c>
      <c r="C179" s="6">
        <v>0.823706680060271</v>
      </c>
      <c r="D179" s="6">
        <v>0.825296671552806</v>
      </c>
      <c r="E179" s="6">
        <v>0.84375</v>
      </c>
      <c r="F179" s="6">
        <v>0.734279918864097</v>
      </c>
      <c r="G179" s="6">
        <v>0.828520919269298</v>
      </c>
      <c r="H179" s="6">
        <v>5299</v>
      </c>
      <c r="I179" s="6" t="s">
        <v>25</v>
      </c>
      <c r="J179" s="6">
        <v>3</v>
      </c>
      <c r="K179" s="6" t="s">
        <v>16</v>
      </c>
    </row>
    <row r="180" ht="17.55" spans="1:8">
      <c r="A180" s="3" t="s">
        <v>19</v>
      </c>
      <c r="B180" s="4"/>
      <c r="C180" s="5">
        <f t="shared" ref="C180:H180" si="28">AVERAGE(C177:C179)</f>
        <v>0.82303699983258</v>
      </c>
      <c r="D180" s="5">
        <f t="shared" si="28"/>
        <v>0.824659420178666</v>
      </c>
      <c r="E180" s="5">
        <f t="shared" si="28"/>
        <v>0.843592245103879</v>
      </c>
      <c r="F180" s="5">
        <f t="shared" si="28"/>
        <v>0.7315753887762</v>
      </c>
      <c r="G180" s="5">
        <f t="shared" si="28"/>
        <v>0.827898209005002</v>
      </c>
      <c r="H180" s="9">
        <f t="shared" si="28"/>
        <v>5306.33333333333</v>
      </c>
    </row>
    <row r="181" spans="3:7">
      <c r="C181" s="6"/>
      <c r="D181" s="6"/>
      <c r="E181" s="6"/>
      <c r="F181" s="6"/>
      <c r="G181" s="6"/>
    </row>
    <row r="182" spans="1:11">
      <c r="A182" s="6" t="s">
        <v>50</v>
      </c>
      <c r="B182" s="6" t="s">
        <v>47</v>
      </c>
      <c r="C182" s="6">
        <v>0.828227021597187</v>
      </c>
      <c r="D182" s="6">
        <v>0.829584538147665</v>
      </c>
      <c r="E182" s="6">
        <v>0.853434288804759</v>
      </c>
      <c r="F182" s="6">
        <v>0.716356107660455</v>
      </c>
      <c r="G182" s="6">
        <v>0.832727272727272</v>
      </c>
      <c r="H182" s="6">
        <v>33717</v>
      </c>
      <c r="I182" s="6" t="s">
        <v>25</v>
      </c>
      <c r="J182" s="6">
        <v>1</v>
      </c>
      <c r="K182" s="6" t="s">
        <v>27</v>
      </c>
    </row>
    <row r="183" spans="1:11">
      <c r="A183" s="6" t="s">
        <v>50</v>
      </c>
      <c r="B183" s="6" t="s">
        <v>47</v>
      </c>
      <c r="C183" s="6">
        <v>0.824208940231039</v>
      </c>
      <c r="D183" s="6">
        <v>0.82548610704328</v>
      </c>
      <c r="E183" s="6">
        <v>0.850189291508923</v>
      </c>
      <c r="F183" s="6">
        <v>0.711018711018711</v>
      </c>
      <c r="G183" s="6">
        <v>0.828087167070217</v>
      </c>
      <c r="H183" s="6">
        <v>9132</v>
      </c>
      <c r="I183" s="6" t="s">
        <v>25</v>
      </c>
      <c r="J183" s="6">
        <v>2</v>
      </c>
      <c r="K183" s="6" t="s">
        <v>27</v>
      </c>
    </row>
    <row r="184" spans="1:11">
      <c r="A184" s="6" t="s">
        <v>50</v>
      </c>
      <c r="B184" s="6" t="s">
        <v>47</v>
      </c>
      <c r="C184" s="6">
        <v>0.826217980914113</v>
      </c>
      <c r="D184" s="6">
        <v>0.827284059996784</v>
      </c>
      <c r="E184" s="6">
        <v>0.850027070925825</v>
      </c>
      <c r="F184" s="6">
        <v>0.72</v>
      </c>
      <c r="G184" s="6">
        <v>0.83012048192771</v>
      </c>
      <c r="H184" s="6">
        <v>9188</v>
      </c>
      <c r="I184" s="6" t="s">
        <v>25</v>
      </c>
      <c r="J184" s="6">
        <v>3</v>
      </c>
      <c r="K184" s="6" t="s">
        <v>27</v>
      </c>
    </row>
    <row r="185" spans="3:7">
      <c r="C185" s="6"/>
      <c r="D185" s="6"/>
      <c r="E185" s="6"/>
      <c r="F185" s="6"/>
      <c r="G185" s="6"/>
    </row>
    <row r="186" spans="3:7">
      <c r="C186" s="6"/>
      <c r="D186" s="6"/>
      <c r="E186" s="6"/>
      <c r="F186" s="6"/>
      <c r="G186" s="6"/>
    </row>
    <row r="187" spans="1:11">
      <c r="A187" s="6" t="s">
        <v>51</v>
      </c>
      <c r="B187" s="6" t="s">
        <v>47</v>
      </c>
      <c r="C187" s="6">
        <v>0.837769964841788</v>
      </c>
      <c r="D187" s="6">
        <v>0.838524718543702</v>
      </c>
      <c r="E187" s="6">
        <v>0.859299191374663</v>
      </c>
      <c r="F187" s="6">
        <v>0.742004264392324</v>
      </c>
      <c r="G187" s="6">
        <v>0.840772014475271</v>
      </c>
      <c r="H187" s="6">
        <v>4980</v>
      </c>
      <c r="I187" s="6" t="s">
        <v>25</v>
      </c>
      <c r="J187" s="6">
        <v>1</v>
      </c>
      <c r="K187" s="6" t="s">
        <v>27</v>
      </c>
    </row>
    <row r="188" spans="1:11">
      <c r="A188" s="6" t="s">
        <v>51</v>
      </c>
      <c r="B188" s="6" t="s">
        <v>47</v>
      </c>
      <c r="C188" s="6">
        <v>0.831240582621798</v>
      </c>
      <c r="D188" s="6">
        <v>0.83190497805048</v>
      </c>
      <c r="E188" s="6">
        <v>0.851315083199141</v>
      </c>
      <c r="F188" s="6">
        <v>0.742004264392324</v>
      </c>
      <c r="G188" s="6">
        <v>0.833939393939394</v>
      </c>
      <c r="H188" s="6">
        <v>4980</v>
      </c>
      <c r="I188" s="6" t="s">
        <v>25</v>
      </c>
      <c r="J188" s="6">
        <v>2</v>
      </c>
      <c r="K188" s="6" t="s">
        <v>27</v>
      </c>
    </row>
    <row r="189" ht="17.55" spans="1:11">
      <c r="A189" s="6" t="s">
        <v>51</v>
      </c>
      <c r="B189" s="6" t="s">
        <v>47</v>
      </c>
      <c r="C189" s="6">
        <v>0.840783525866398</v>
      </c>
      <c r="D189" s="6">
        <v>0.841299658096088</v>
      </c>
      <c r="E189" s="6">
        <v>0.859752821063944</v>
      </c>
      <c r="F189" s="6">
        <v>0.76068376068376</v>
      </c>
      <c r="G189" s="6">
        <v>0.842105263157894</v>
      </c>
      <c r="H189" s="6">
        <v>29766</v>
      </c>
      <c r="I189" s="6" t="s">
        <v>25</v>
      </c>
      <c r="J189" s="6">
        <v>3</v>
      </c>
      <c r="K189" s="6" t="s">
        <v>27</v>
      </c>
    </row>
    <row r="190" ht="17.55" spans="1:8">
      <c r="A190" s="3" t="s">
        <v>19</v>
      </c>
      <c r="B190" s="4"/>
      <c r="C190" s="5">
        <f t="shared" ref="C190:H190" si="29">AVERAGE(C187:C189)</f>
        <v>0.836598024443328</v>
      </c>
      <c r="D190" s="5">
        <f t="shared" si="29"/>
        <v>0.83724311823009</v>
      </c>
      <c r="E190" s="5">
        <f t="shared" si="29"/>
        <v>0.856789031879249</v>
      </c>
      <c r="F190" s="5">
        <f t="shared" si="29"/>
        <v>0.748230763156136</v>
      </c>
      <c r="G190" s="5">
        <f t="shared" si="29"/>
        <v>0.838938890524186</v>
      </c>
      <c r="H190" s="9">
        <f t="shared" si="29"/>
        <v>13242</v>
      </c>
    </row>
    <row r="192" spans="1:11">
      <c r="A192" s="6" t="s">
        <v>50</v>
      </c>
      <c r="B192" s="6" t="s">
        <v>47</v>
      </c>
      <c r="C192" s="6">
        <v>0.837769964841788</v>
      </c>
      <c r="D192" s="6">
        <v>0.838176972125591</v>
      </c>
      <c r="E192" s="6">
        <v>0.862850971922246</v>
      </c>
      <c r="F192" s="6">
        <v>0.748936170212765</v>
      </c>
      <c r="G192" s="6">
        <v>0.834939759036144</v>
      </c>
      <c r="H192" s="6">
        <v>48370</v>
      </c>
      <c r="I192" s="6" t="s">
        <v>25</v>
      </c>
      <c r="J192" s="6">
        <v>1</v>
      </c>
      <c r="K192" s="6" t="s">
        <v>33</v>
      </c>
    </row>
    <row r="193" spans="1:11">
      <c r="A193" s="6" t="s">
        <v>50</v>
      </c>
      <c r="B193" s="6" t="s">
        <v>47</v>
      </c>
      <c r="C193" s="6">
        <v>0.83375188347564</v>
      </c>
      <c r="D193" s="6">
        <v>0.834596351819834</v>
      </c>
      <c r="E193" s="6">
        <v>0.860238353196099</v>
      </c>
      <c r="F193" s="6">
        <v>0.731092436974789</v>
      </c>
      <c r="G193" s="6">
        <v>0.833734939759036</v>
      </c>
      <c r="H193" s="6">
        <v>9189</v>
      </c>
      <c r="I193" s="6" t="s">
        <v>25</v>
      </c>
      <c r="J193" s="6">
        <v>2</v>
      </c>
      <c r="K193" s="6" t="s">
        <v>33</v>
      </c>
    </row>
    <row r="194" ht="17.55" spans="1:11">
      <c r="A194" s="6" t="s">
        <v>50</v>
      </c>
      <c r="B194" s="6" t="s">
        <v>47</v>
      </c>
      <c r="C194" s="6">
        <v>0.830236062280261</v>
      </c>
      <c r="D194" s="6">
        <v>0.831054815025425</v>
      </c>
      <c r="E194" s="6">
        <v>0.855591748099891</v>
      </c>
      <c r="F194" s="6">
        <v>0.733752620545073</v>
      </c>
      <c r="G194" s="6">
        <v>0.829825616355983</v>
      </c>
      <c r="H194" s="6">
        <v>9189</v>
      </c>
      <c r="I194" s="6" t="s">
        <v>25</v>
      </c>
      <c r="J194" s="6">
        <v>3</v>
      </c>
      <c r="K194" s="6" t="s">
        <v>33</v>
      </c>
    </row>
    <row r="195" ht="17.55" spans="1:8">
      <c r="A195" s="3" t="s">
        <v>19</v>
      </c>
      <c r="B195" s="4"/>
      <c r="C195" s="5">
        <f t="shared" ref="C195:H195" si="30">AVERAGE(C192:C194)</f>
        <v>0.833919303532563</v>
      </c>
      <c r="D195" s="5">
        <f t="shared" si="30"/>
        <v>0.83460937965695</v>
      </c>
      <c r="E195" s="5">
        <f t="shared" si="30"/>
        <v>0.859560357739412</v>
      </c>
      <c r="F195" s="5">
        <f t="shared" si="30"/>
        <v>0.737927075910876</v>
      </c>
      <c r="G195" s="5">
        <f t="shared" si="30"/>
        <v>0.832833438383721</v>
      </c>
      <c r="H195" s="9">
        <f t="shared" si="30"/>
        <v>22249.3333333333</v>
      </c>
    </row>
    <row r="197" spans="1:11">
      <c r="A197" s="6" t="s">
        <v>51</v>
      </c>
      <c r="B197" s="6" t="s">
        <v>47</v>
      </c>
      <c r="C197" s="6">
        <v>0.839779005524861</v>
      </c>
      <c r="D197" s="6">
        <v>0.840464171992897</v>
      </c>
      <c r="E197" s="6">
        <v>0.860414394765539</v>
      </c>
      <c r="F197" s="6">
        <v>0.75107296137339</v>
      </c>
      <c r="G197" s="6">
        <v>0.841854934601664</v>
      </c>
      <c r="H197" s="6">
        <v>30252</v>
      </c>
      <c r="I197" s="6" t="s">
        <v>25</v>
      </c>
      <c r="J197" s="6">
        <v>1</v>
      </c>
      <c r="K197" s="6" t="s">
        <v>33</v>
      </c>
    </row>
    <row r="198" spans="1:11">
      <c r="A198" s="6" t="s">
        <v>51</v>
      </c>
      <c r="B198" s="6" t="s">
        <v>47</v>
      </c>
      <c r="C198" s="6">
        <v>0.843797086891009</v>
      </c>
      <c r="D198" s="6">
        <v>0.844084731699348</v>
      </c>
      <c r="E198" s="6">
        <v>0.863930885529157</v>
      </c>
      <c r="F198" s="6">
        <v>0.769892473118279</v>
      </c>
      <c r="G198" s="6">
        <v>0.842042042042042</v>
      </c>
      <c r="H198" s="6">
        <v>5409</v>
      </c>
      <c r="I198" s="6" t="s">
        <v>25</v>
      </c>
      <c r="J198" s="6">
        <v>2</v>
      </c>
      <c r="K198" s="6" t="s">
        <v>33</v>
      </c>
    </row>
    <row r="199" ht="17.55" spans="1:11">
      <c r="A199" s="6" t="s">
        <v>51</v>
      </c>
      <c r="B199" s="6" t="s">
        <v>47</v>
      </c>
      <c r="C199" s="6">
        <v>0.841285786037167</v>
      </c>
      <c r="D199" s="6">
        <v>0.841990967795649</v>
      </c>
      <c r="E199" s="6">
        <v>0.860718171926006</v>
      </c>
      <c r="F199" s="6">
        <v>0.75268817204301</v>
      </c>
      <c r="G199" s="6">
        <v>0.844550327575938</v>
      </c>
      <c r="H199" s="6">
        <v>5437</v>
      </c>
      <c r="I199" s="6" t="s">
        <v>25</v>
      </c>
      <c r="J199" s="6">
        <v>3</v>
      </c>
      <c r="K199" s="6" t="s">
        <v>33</v>
      </c>
    </row>
    <row r="200" ht="17.55" spans="1:8">
      <c r="A200" s="3" t="s">
        <v>19</v>
      </c>
      <c r="B200" s="4"/>
      <c r="C200" s="5">
        <f t="shared" ref="C200:H200" si="31">AVERAGE(C197:C199)</f>
        <v>0.841620626151012</v>
      </c>
      <c r="D200" s="5">
        <f t="shared" si="31"/>
        <v>0.842179957162631</v>
      </c>
      <c r="E200" s="5">
        <f t="shared" si="31"/>
        <v>0.861687817406901</v>
      </c>
      <c r="F200" s="5">
        <f t="shared" si="31"/>
        <v>0.75788453551156</v>
      </c>
      <c r="G200" s="5">
        <f t="shared" si="31"/>
        <v>0.842815768073215</v>
      </c>
      <c r="H200" s="9">
        <f t="shared" si="31"/>
        <v>13699.3333333333</v>
      </c>
    </row>
    <row r="202" spans="1:11">
      <c r="A202" s="6" t="s">
        <v>50</v>
      </c>
      <c r="B202" s="6" t="s">
        <v>47</v>
      </c>
      <c r="C202" s="6">
        <v>0.834756403817177</v>
      </c>
      <c r="D202" s="6">
        <v>0.83519516720581</v>
      </c>
      <c r="E202" s="6">
        <v>0.863317125877903</v>
      </c>
      <c r="F202" s="6">
        <v>0.73728813559322</v>
      </c>
      <c r="G202" s="6">
        <v>0.830620855937311</v>
      </c>
      <c r="H202" s="6">
        <v>18887</v>
      </c>
      <c r="I202" s="6" t="s">
        <v>25</v>
      </c>
      <c r="J202" s="6">
        <v>1</v>
      </c>
      <c r="K202" s="6" t="s">
        <v>34</v>
      </c>
    </row>
    <row r="203" spans="1:11">
      <c r="A203" s="6" t="s">
        <v>50</v>
      </c>
      <c r="B203" s="6" t="s">
        <v>47</v>
      </c>
      <c r="C203" s="6">
        <v>0.834254143646408</v>
      </c>
      <c r="D203" s="6">
        <v>0.8344040360699</v>
      </c>
      <c r="E203" s="6">
        <v>0.861938278289117</v>
      </c>
      <c r="F203" s="6">
        <v>0.737991266375545</v>
      </c>
      <c r="G203" s="6">
        <v>0.830053667262969</v>
      </c>
      <c r="H203" s="6">
        <v>10898</v>
      </c>
      <c r="I203" s="6" t="s">
        <v>25</v>
      </c>
      <c r="J203" s="6">
        <v>2</v>
      </c>
      <c r="K203" s="6" t="s">
        <v>34</v>
      </c>
    </row>
    <row r="204" ht="17.55" spans="1:11">
      <c r="A204" s="6" t="s">
        <v>50</v>
      </c>
      <c r="B204" s="6" t="s">
        <v>47</v>
      </c>
      <c r="C204" s="6">
        <v>0.827724761426418</v>
      </c>
      <c r="D204" s="6">
        <v>0.828484204492375</v>
      </c>
      <c r="E204" s="6">
        <v>0.851409978308026</v>
      </c>
      <c r="F204" s="6">
        <v>0.734177215189873</v>
      </c>
      <c r="G204" s="6">
        <v>0.828125</v>
      </c>
      <c r="H204" s="6">
        <v>16697</v>
      </c>
      <c r="I204" s="6" t="s">
        <v>25</v>
      </c>
      <c r="J204" s="6">
        <v>3</v>
      </c>
      <c r="K204" s="6" t="s">
        <v>34</v>
      </c>
    </row>
    <row r="205" ht="17.55" spans="1:8">
      <c r="A205" s="3" t="s">
        <v>19</v>
      </c>
      <c r="B205" s="4"/>
      <c r="C205" s="5">
        <f t="shared" ref="C205:H205" si="32">AVERAGE(C202:C204)</f>
        <v>0.832245102963334</v>
      </c>
      <c r="D205" s="5">
        <f t="shared" si="32"/>
        <v>0.832694469256028</v>
      </c>
      <c r="E205" s="5">
        <f t="shared" si="32"/>
        <v>0.858888460825015</v>
      </c>
      <c r="F205" s="5">
        <f t="shared" si="32"/>
        <v>0.736485539052879</v>
      </c>
      <c r="G205" s="5">
        <f t="shared" si="32"/>
        <v>0.82959984106676</v>
      </c>
      <c r="H205" s="9">
        <f t="shared" si="32"/>
        <v>15494</v>
      </c>
    </row>
    <row r="207" spans="1:11">
      <c r="A207" s="6" t="s">
        <v>51</v>
      </c>
      <c r="B207" s="6" t="s">
        <v>47</v>
      </c>
      <c r="C207" s="6">
        <v>0.834756403817177</v>
      </c>
      <c r="D207" s="6">
        <v>0.835603758540216</v>
      </c>
      <c r="E207" s="6">
        <v>0.854358419057931</v>
      </c>
      <c r="F207" s="6">
        <v>0.742004264392324</v>
      </c>
      <c r="G207" s="6">
        <v>0.839135654261704</v>
      </c>
      <c r="H207" s="6">
        <v>5558</v>
      </c>
      <c r="I207" s="6" t="s">
        <v>25</v>
      </c>
      <c r="J207" s="6">
        <v>1</v>
      </c>
      <c r="K207" s="6" t="s">
        <v>34</v>
      </c>
    </row>
    <row r="208" spans="1:11">
      <c r="A208" s="6" t="s">
        <v>51</v>
      </c>
      <c r="B208" s="6" t="s">
        <v>47</v>
      </c>
      <c r="C208" s="6">
        <v>0.841285786037167</v>
      </c>
      <c r="D208" s="6">
        <v>0.841678145380982</v>
      </c>
      <c r="E208" s="6">
        <v>0.858229223248234</v>
      </c>
      <c r="F208" s="6">
        <v>0.769565217391304</v>
      </c>
      <c r="G208" s="6">
        <v>0.842355740630577</v>
      </c>
      <c r="H208" s="6">
        <v>5523</v>
      </c>
      <c r="I208" s="6" t="s">
        <v>25</v>
      </c>
      <c r="J208" s="6">
        <v>2</v>
      </c>
      <c r="K208" s="6" t="s">
        <v>34</v>
      </c>
    </row>
    <row r="209" ht="17.55" spans="1:11">
      <c r="A209" s="6" t="s">
        <v>51</v>
      </c>
      <c r="B209" s="6" t="s">
        <v>47</v>
      </c>
      <c r="C209" s="6">
        <v>0.842792566549472</v>
      </c>
      <c r="D209" s="6">
        <v>0.843185202301309</v>
      </c>
      <c r="E209" s="6">
        <v>0.862106406080347</v>
      </c>
      <c r="F209" s="6">
        <v>0.762527233115468</v>
      </c>
      <c r="G209" s="6">
        <v>0.843545508625818</v>
      </c>
      <c r="H209" s="6">
        <v>5533</v>
      </c>
      <c r="I209" s="6" t="s">
        <v>25</v>
      </c>
      <c r="J209" s="6">
        <v>3</v>
      </c>
      <c r="K209" s="6" t="s">
        <v>34</v>
      </c>
    </row>
    <row r="210" ht="17.55" spans="1:8">
      <c r="A210" s="3" t="s">
        <v>19</v>
      </c>
      <c r="B210" s="4"/>
      <c r="C210" s="5">
        <f t="shared" ref="C210:H210" si="33">AVERAGE(C207:C209)</f>
        <v>0.839611585467939</v>
      </c>
      <c r="D210" s="5">
        <f t="shared" si="33"/>
        <v>0.840155702074169</v>
      </c>
      <c r="E210" s="5">
        <f t="shared" si="33"/>
        <v>0.858231349462171</v>
      </c>
      <c r="F210" s="5">
        <f t="shared" si="33"/>
        <v>0.758032238299699</v>
      </c>
      <c r="G210" s="5">
        <f t="shared" si="33"/>
        <v>0.841678967839366</v>
      </c>
      <c r="H210" s="9">
        <f t="shared" si="33"/>
        <v>5538</v>
      </c>
    </row>
    <row r="212" spans="1:11">
      <c r="A212" s="6" t="s">
        <v>50</v>
      </c>
      <c r="B212" s="6" t="s">
        <v>47</v>
      </c>
      <c r="C212" s="6">
        <v>0.837769964841788</v>
      </c>
      <c r="D212" s="6">
        <v>0.837337314008878</v>
      </c>
      <c r="E212" s="6">
        <v>0.862933333333333</v>
      </c>
      <c r="F212" s="6">
        <v>0.738532110091743</v>
      </c>
      <c r="G212" s="6">
        <v>0.835427887492519</v>
      </c>
      <c r="H212" s="6">
        <v>17691</v>
      </c>
      <c r="I212" s="6" t="s">
        <v>25</v>
      </c>
      <c r="J212" s="6">
        <v>1</v>
      </c>
      <c r="K212" s="6" t="s">
        <v>52</v>
      </c>
    </row>
    <row r="213" spans="1:11">
      <c r="A213" s="6" t="s">
        <v>50</v>
      </c>
      <c r="B213" s="6" t="s">
        <v>47</v>
      </c>
      <c r="C213" s="6">
        <v>0.836765444500251</v>
      </c>
      <c r="D213" s="6">
        <v>0.836484007191811</v>
      </c>
      <c r="E213" s="6">
        <v>0.860502405130946</v>
      </c>
      <c r="F213" s="6">
        <v>0.746606334841629</v>
      </c>
      <c r="G213" s="6">
        <v>0.834032354703415</v>
      </c>
      <c r="H213" s="6">
        <v>12781</v>
      </c>
      <c r="I213" s="6" t="s">
        <v>25</v>
      </c>
      <c r="J213" s="6">
        <v>2</v>
      </c>
      <c r="K213" s="6" t="s">
        <v>52</v>
      </c>
    </row>
    <row r="214" ht="17.55" spans="1:11">
      <c r="A214" s="6" t="s">
        <v>50</v>
      </c>
      <c r="B214" s="6" t="s">
        <v>47</v>
      </c>
      <c r="C214" s="6">
        <v>0.835760924158714</v>
      </c>
      <c r="D214" s="6">
        <v>0.835500717663792</v>
      </c>
      <c r="E214" s="6">
        <v>0.858823529411764</v>
      </c>
      <c r="F214" s="6">
        <v>0.74259681093394</v>
      </c>
      <c r="G214" s="6">
        <v>0.834429169157202</v>
      </c>
      <c r="H214" s="6">
        <v>9168</v>
      </c>
      <c r="I214" s="6" t="s">
        <v>25</v>
      </c>
      <c r="J214" s="6">
        <v>3</v>
      </c>
      <c r="K214" s="6" t="s">
        <v>52</v>
      </c>
    </row>
    <row r="215" ht="17.55" spans="1:8">
      <c r="A215" s="3" t="s">
        <v>19</v>
      </c>
      <c r="B215" s="4"/>
      <c r="C215" s="5">
        <f t="shared" ref="C215:H215" si="34">AVERAGE(C212:C214)</f>
        <v>0.836765444500251</v>
      </c>
      <c r="D215" s="5">
        <f t="shared" si="34"/>
        <v>0.836440679621494</v>
      </c>
      <c r="E215" s="5">
        <f t="shared" si="34"/>
        <v>0.860753089292014</v>
      </c>
      <c r="F215" s="5">
        <f t="shared" si="34"/>
        <v>0.742578418622437</v>
      </c>
      <c r="G215" s="5">
        <f t="shared" si="34"/>
        <v>0.834629803784379</v>
      </c>
      <c r="H215" s="9">
        <f t="shared" si="34"/>
        <v>13213.3333333333</v>
      </c>
    </row>
    <row r="217" spans="1:11">
      <c r="A217" s="6" t="s">
        <v>51</v>
      </c>
      <c r="B217" s="6" t="s">
        <v>47</v>
      </c>
      <c r="C217" s="6">
        <v>0.849824208940231</v>
      </c>
      <c r="D217" s="6">
        <v>0.849897181376739</v>
      </c>
      <c r="E217" s="6">
        <v>0.867882808181315</v>
      </c>
      <c r="F217" s="6">
        <v>0.791946308724832</v>
      </c>
      <c r="G217" s="6">
        <v>0.845886442641946</v>
      </c>
      <c r="H217" s="6">
        <v>6094</v>
      </c>
      <c r="I217" s="6" t="s">
        <v>25</v>
      </c>
      <c r="J217" s="6">
        <v>1</v>
      </c>
      <c r="K217" s="6" t="s">
        <v>52</v>
      </c>
    </row>
    <row r="218" spans="1:11">
      <c r="A218" s="6" t="s">
        <v>51</v>
      </c>
      <c r="B218" s="6" t="s">
        <v>47</v>
      </c>
      <c r="C218" s="6">
        <v>0.850828729281768</v>
      </c>
      <c r="D218" s="6">
        <v>0.850864010705285</v>
      </c>
      <c r="E218" s="6">
        <v>0.86438809261301</v>
      </c>
      <c r="F218" s="6">
        <v>0.808035714285714</v>
      </c>
      <c r="G218" s="6">
        <v>0.847674418604651</v>
      </c>
      <c r="H218" s="6">
        <v>45988</v>
      </c>
      <c r="I218" s="6" t="s">
        <v>25</v>
      </c>
      <c r="J218" s="6">
        <v>2</v>
      </c>
      <c r="K218" s="6" t="s">
        <v>52</v>
      </c>
    </row>
    <row r="219" ht="17.55" spans="1:11">
      <c r="A219" s="6" t="s">
        <v>51</v>
      </c>
      <c r="B219" s="6" t="s">
        <v>47</v>
      </c>
      <c r="C219" s="6">
        <v>0.856855851330989</v>
      </c>
      <c r="D219" s="6">
        <v>0.856859946748936</v>
      </c>
      <c r="E219" s="6">
        <v>0.874657909140667</v>
      </c>
      <c r="F219" s="6">
        <v>0.789115646258503</v>
      </c>
      <c r="G219" s="6">
        <v>0.855309218203033</v>
      </c>
      <c r="H219" s="6">
        <v>5997</v>
      </c>
      <c r="I219" s="6" t="s">
        <v>25</v>
      </c>
      <c r="J219" s="6">
        <v>3</v>
      </c>
      <c r="K219" s="6" t="s">
        <v>52</v>
      </c>
    </row>
    <row r="220" ht="17.55" spans="1:8">
      <c r="A220" s="3" t="s">
        <v>19</v>
      </c>
      <c r="B220" s="4"/>
      <c r="C220" s="5">
        <f t="shared" ref="C220:H220" si="35">AVERAGE(C217:C219)</f>
        <v>0.852502929850996</v>
      </c>
      <c r="D220" s="5">
        <f t="shared" si="35"/>
        <v>0.85254037961032</v>
      </c>
      <c r="E220" s="5">
        <f t="shared" si="35"/>
        <v>0.868976269978331</v>
      </c>
      <c r="F220" s="5">
        <f t="shared" si="35"/>
        <v>0.79636588975635</v>
      </c>
      <c r="G220" s="5">
        <f t="shared" si="35"/>
        <v>0.849623359816543</v>
      </c>
      <c r="H220" s="9">
        <f t="shared" si="35"/>
        <v>19359.6666666667</v>
      </c>
    </row>
  </sheetData>
  <mergeCells count="14">
    <mergeCell ref="N1:U1"/>
    <mergeCell ref="N6:U6"/>
    <mergeCell ref="N9:U9"/>
    <mergeCell ref="N23:U23"/>
    <mergeCell ref="N24:U24"/>
    <mergeCell ref="N25:U25"/>
    <mergeCell ref="N28:U28"/>
    <mergeCell ref="N33:U33"/>
    <mergeCell ref="N34:U34"/>
    <mergeCell ref="N35:U35"/>
    <mergeCell ref="N59:U59"/>
    <mergeCell ref="N2:U4"/>
    <mergeCell ref="Y2:AA4"/>
    <mergeCell ref="N13:U15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petro</dc:creator>
  <cp:lastModifiedBy>Petros Raptopoulos</cp:lastModifiedBy>
  <dcterms:created xsi:type="dcterms:W3CDTF">2025-01-15T10:57:00Z</dcterms:created>
  <dcterms:modified xsi:type="dcterms:W3CDTF">2025-04-06T21:16:08Z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326DBB55FD084ADCA1178CEA041DE997_11</vt:lpwstr>
  </property>
  <property fmtid="{D5CDD505-2E9C-101B-9397-08002B2CF9AE}" pid="3" name="KSOProductBuildVer">
    <vt:lpwstr>1033-6.11.0.8608</vt:lpwstr>
  </property>
</Properties>
</file>